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01-Academicos\01-UNIFEI\Disciplinas\SMAC03 - Grafos\Projeto\Cenário 5 - Programação Aulas\"/>
    </mc:Choice>
  </mc:AlternateContent>
  <xr:revisionPtr revIDLastSave="0" documentId="13_ncr:1_{E6233DA0-B93A-4E31-9147-C353D8002B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ocação Disciplina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0" i="2" l="1"/>
  <c r="L70" i="2"/>
  <c r="M70" i="2"/>
  <c r="N70" i="2"/>
  <c r="O70" i="2"/>
  <c r="P70" i="2"/>
  <c r="Q70" i="2"/>
  <c r="R70" i="2"/>
  <c r="S70" i="2"/>
  <c r="T70" i="2"/>
  <c r="U70" i="2"/>
  <c r="V70" i="2"/>
  <c r="W70" i="2"/>
  <c r="X70" i="2"/>
  <c r="Y70" i="2"/>
  <c r="J70" i="2"/>
  <c r="I70" i="2"/>
  <c r="H70" i="2"/>
  <c r="Y67" i="2"/>
  <c r="Y71" i="2" s="1"/>
  <c r="X67" i="2"/>
  <c r="X71" i="2" s="1"/>
  <c r="W67" i="2"/>
  <c r="W71" i="2" s="1"/>
  <c r="V67" i="2"/>
  <c r="U67" i="2"/>
  <c r="T67" i="2"/>
  <c r="S67" i="2"/>
  <c r="R67" i="2"/>
  <c r="Q67" i="2"/>
  <c r="P67" i="2"/>
  <c r="O67" i="2"/>
  <c r="N67" i="2"/>
  <c r="M67" i="2"/>
  <c r="M71" i="2" s="1"/>
  <c r="L67" i="2"/>
  <c r="L71" i="2" s="1"/>
  <c r="K67" i="2"/>
  <c r="K71" i="2" s="1"/>
  <c r="J67" i="2"/>
  <c r="I67" i="2"/>
  <c r="H67" i="2"/>
  <c r="G67" i="2"/>
  <c r="G68" i="2" s="1"/>
  <c r="Z61" i="2"/>
  <c r="Z60" i="2"/>
  <c r="Z59" i="2"/>
  <c r="Z56" i="2"/>
  <c r="Z55" i="2"/>
  <c r="Z54" i="2"/>
  <c r="Z50" i="2"/>
  <c r="Z49" i="2"/>
  <c r="Z48" i="2"/>
  <c r="Z47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O71" i="2" l="1"/>
  <c r="V71" i="2"/>
  <c r="N71" i="2"/>
  <c r="R71" i="2"/>
  <c r="Q71" i="2"/>
  <c r="P71" i="2"/>
  <c r="H71" i="2"/>
  <c r="I71" i="2"/>
  <c r="J71" i="2"/>
  <c r="U71" i="2"/>
  <c r="T71" i="2"/>
  <c r="S71" i="2"/>
</calcChain>
</file>

<file path=xl/sharedStrings.xml><?xml version="1.0" encoding="utf-8"?>
<sst xmlns="http://schemas.openxmlformats.org/spreadsheetml/2006/main" count="310" uniqueCount="203">
  <si>
    <t>XMAC01</t>
  </si>
  <si>
    <t>CRSC03</t>
  </si>
  <si>
    <t>CAHC04</t>
  </si>
  <si>
    <t>XDES01</t>
  </si>
  <si>
    <t>SAHC04</t>
  </si>
  <si>
    <t>SAHC05</t>
  </si>
  <si>
    <t>XDES04</t>
  </si>
  <si>
    <t>XMAC02</t>
  </si>
  <si>
    <t>XDES02</t>
  </si>
  <si>
    <t>CTCO02</t>
  </si>
  <si>
    <t>CMAC03</t>
  </si>
  <si>
    <t>CRSC02</t>
  </si>
  <si>
    <t>SDES05</t>
  </si>
  <si>
    <t>XDES03</t>
  </si>
  <si>
    <t>SRSC03</t>
  </si>
  <si>
    <t>STCO02</t>
  </si>
  <si>
    <t>CTCO03</t>
  </si>
  <si>
    <t>CTCO05</t>
  </si>
  <si>
    <t>XPAD01</t>
  </si>
  <si>
    <t>CMCO05</t>
  </si>
  <si>
    <t>XMCO01</t>
  </si>
  <si>
    <t>SPAD05</t>
  </si>
  <si>
    <t>XRSC01</t>
  </si>
  <si>
    <t>SPAD03</t>
  </si>
  <si>
    <t>Optativa</t>
  </si>
  <si>
    <t>XAHC03</t>
  </si>
  <si>
    <t>XAHC01</t>
  </si>
  <si>
    <t>SDES07</t>
  </si>
  <si>
    <t>XAHC02</t>
  </si>
  <si>
    <t>SADG01</t>
  </si>
  <si>
    <t>XRSC08</t>
  </si>
  <si>
    <t>XDES16</t>
  </si>
  <si>
    <t>SADG02</t>
  </si>
  <si>
    <t>CMCO07</t>
  </si>
  <si>
    <t>XRSC07</t>
  </si>
  <si>
    <t>XDES11</t>
  </si>
  <si>
    <t>XPAD04</t>
  </si>
  <si>
    <t>XPAD09</t>
  </si>
  <si>
    <t>CCO016</t>
  </si>
  <si>
    <t>IEPG21</t>
  </si>
  <si>
    <t>CURSO</t>
  </si>
  <si>
    <t>PPC</t>
  </si>
  <si>
    <t>PER.</t>
  </si>
  <si>
    <t>SIGLA</t>
  </si>
  <si>
    <t>DISCIPLINA</t>
  </si>
  <si>
    <t>CH</t>
  </si>
  <si>
    <t>CCO</t>
  </si>
  <si>
    <t>Fundamentos de Programação</t>
  </si>
  <si>
    <t>Arquitetura de Computadores I</t>
  </si>
  <si>
    <t>Matemática Discreta</t>
  </si>
  <si>
    <t>Projeto Integrado</t>
  </si>
  <si>
    <t>Programação Orientada a Objetos</t>
  </si>
  <si>
    <t>Engenharia de Software I</t>
  </si>
  <si>
    <t>Algoritmos e Estrutura de Dados II</t>
  </si>
  <si>
    <t>Sistemas Operacionais</t>
  </si>
  <si>
    <t>Algoritmos em Grafos</t>
  </si>
  <si>
    <t>Métodos Matemáticos para Análise de Dados</t>
  </si>
  <si>
    <t>Teoria da Computação</t>
  </si>
  <si>
    <t>Análise e Projeto Orientados a Objetos</t>
  </si>
  <si>
    <t>Banco de Dados I</t>
  </si>
  <si>
    <t>Inteligência Artificial</t>
  </si>
  <si>
    <t>Introdução à Computação Visual</t>
  </si>
  <si>
    <t>Computação e Sociedade</t>
  </si>
  <si>
    <t>Metodologia Científica</t>
  </si>
  <si>
    <t>SIN</t>
  </si>
  <si>
    <t>Fundamentos de Sistemas de Informação</t>
  </si>
  <si>
    <t>Programação Web</t>
  </si>
  <si>
    <t>Engenharia de Software II</t>
  </si>
  <si>
    <t>Algoritmos e Programação II</t>
  </si>
  <si>
    <t>Organização e Arquitetura de Computadores</t>
  </si>
  <si>
    <t>SPAD02</t>
  </si>
  <si>
    <t>Banco de Dados II</t>
  </si>
  <si>
    <t>Introdução à Análise de Dados</t>
  </si>
  <si>
    <t xml:space="preserve">Redes de Computadores </t>
  </si>
  <si>
    <t>Desenvolvimento de Sistemas na Web</t>
  </si>
  <si>
    <t>Interação Humano Computador</t>
  </si>
  <si>
    <t>Gestão e Governança de TI</t>
  </si>
  <si>
    <t>SIN414</t>
  </si>
  <si>
    <t>Auditoria e Segurança de Sistemas</t>
  </si>
  <si>
    <t>-</t>
  </si>
  <si>
    <t>Fundamentos de Programação (EMT)</t>
  </si>
  <si>
    <t>Fundamentos de Programação (EME) (2 Turmas)</t>
  </si>
  <si>
    <t>Fundamentos de Programação (EBP / ECI) (2 Turmas)</t>
  </si>
  <si>
    <t>Fundamentos de Programação (MBA)</t>
  </si>
  <si>
    <t>Fundamentos de Programação (EMA / EEN) (2 Turmas)</t>
  </si>
  <si>
    <t>Optativas</t>
  </si>
  <si>
    <t>Economia da Informação</t>
  </si>
  <si>
    <t>Tópicos em DES I</t>
  </si>
  <si>
    <t>Computação em Nuvem</t>
  </si>
  <si>
    <t>Visão Computacional</t>
  </si>
  <si>
    <t>CCO: Engenharia de Software II (turma regular de SIN)</t>
  </si>
  <si>
    <t>CCO: Desenvolvimento de Sistemas Web (turma regular de SIN)</t>
  </si>
  <si>
    <t>CCO: Gestão e Gorvenança de TI (turma regular de SIN)</t>
  </si>
  <si>
    <t>Análise e Previsão de Séries Temporais</t>
  </si>
  <si>
    <t>?</t>
  </si>
  <si>
    <t>Tópicos em Matemática da Computação</t>
  </si>
  <si>
    <t>XRSCO9</t>
  </si>
  <si>
    <t>Sistemas Distribuídos</t>
  </si>
  <si>
    <t>Programação Paralela</t>
  </si>
  <si>
    <t>Bancos de Dados NoSQL</t>
  </si>
  <si>
    <t xml:space="preserve"> Fundamentos de Game Design</t>
  </si>
  <si>
    <t>Poscomp</t>
  </si>
  <si>
    <t>PCO209</t>
  </si>
  <si>
    <t>Engenharia de Software Experimental (Opt+Pós)</t>
  </si>
  <si>
    <t>PCO202</t>
  </si>
  <si>
    <t>Tópicos em Engenharia de Software</t>
  </si>
  <si>
    <t>PCO114</t>
  </si>
  <si>
    <t>Visualização da Informação</t>
  </si>
  <si>
    <t>PCO203</t>
  </si>
  <si>
    <t>Tópicos Especiais em Progamação</t>
  </si>
  <si>
    <t>Carga Horária Total - 1º Semestre</t>
  </si>
  <si>
    <t>CH Total / Docente</t>
  </si>
  <si>
    <t>CH 2º Sem</t>
  </si>
  <si>
    <t>CH Ano</t>
  </si>
  <si>
    <t>Metaheurísticas</t>
  </si>
  <si>
    <t>PCO117</t>
  </si>
  <si>
    <t>CTCO01</t>
  </si>
  <si>
    <t>Algoritmos e Estrutura de Dados I</t>
  </si>
  <si>
    <t>CRSC04</t>
  </si>
  <si>
    <t>Arquitetura de Computadores II</t>
  </si>
  <si>
    <t>CMAC04</t>
  </si>
  <si>
    <t>Modelagem Computacional</t>
  </si>
  <si>
    <t>CTCO04</t>
  </si>
  <si>
    <t>Projeto e Análise de Algoritmos</t>
  </si>
  <si>
    <t>Redes de Computadores</t>
  </si>
  <si>
    <t>CDES05</t>
  </si>
  <si>
    <t>Programação Lógica e Funcional</t>
  </si>
  <si>
    <t>CRSC05</t>
  </si>
  <si>
    <t>Sistemas Embarcados</t>
  </si>
  <si>
    <t>CMAC05</t>
  </si>
  <si>
    <t>Cálculo Numérico para Computação</t>
  </si>
  <si>
    <t>CTCO06</t>
  </si>
  <si>
    <t>Compiladores</t>
  </si>
  <si>
    <t>STCO01</t>
  </si>
  <si>
    <t>Algoritmos e Programação I</t>
  </si>
  <si>
    <t>SMAC03</t>
  </si>
  <si>
    <t>Grafos</t>
  </si>
  <si>
    <t>SRSC02</t>
  </si>
  <si>
    <t>SDES06</t>
  </si>
  <si>
    <t>Gerência de Projeto de Software</t>
  </si>
  <si>
    <t>Desenvolvimento de Sistemas Web</t>
  </si>
  <si>
    <t>Fundamentos de Programação (EPR / EHD)</t>
  </si>
  <si>
    <t>Fundamentos de Programação (EAM)</t>
  </si>
  <si>
    <t>Fundamentos de Programação (FBA)</t>
  </si>
  <si>
    <t>XMCO09</t>
  </si>
  <si>
    <t>Ciência de Redes</t>
  </si>
  <si>
    <t>Tópicos em Desenvolvimento e Engenharia de Software (PEGA)</t>
  </si>
  <si>
    <t>XDES10</t>
  </si>
  <si>
    <t>Engenharia de Software Experimetal</t>
  </si>
  <si>
    <t>Análise de Dados Geoespaciais</t>
  </si>
  <si>
    <t>ECOX21</t>
  </si>
  <si>
    <t>Maratona de Programação I</t>
  </si>
  <si>
    <t>XAHC07</t>
  </si>
  <si>
    <t>Computação Aplicada à Educação</t>
  </si>
  <si>
    <t>XDES12</t>
  </si>
  <si>
    <t>Gestão de Produtos Digitais (Tópicos em DES II)</t>
  </si>
  <si>
    <t>XDES17</t>
  </si>
  <si>
    <t>Desenvolvimento de Jogos</t>
  </si>
  <si>
    <t>Visualização de Informação (Pós+Opt)</t>
  </si>
  <si>
    <t>Tópicos em Engenharia de Software (Pós)</t>
  </si>
  <si>
    <t>PCO113</t>
  </si>
  <si>
    <t>ROBÓTICA MÓVEL II</t>
  </si>
  <si>
    <t>PCO003</t>
  </si>
  <si>
    <t>Sistemas Operacionais (Pós)</t>
  </si>
  <si>
    <t>Carga Horária Total - 2º Semestre</t>
  </si>
  <si>
    <t>CH 1º Sem</t>
  </si>
  <si>
    <t>DISCIPLINAS OFERTADAS POR OUTROS INSTITUTOS ou CURSOS</t>
  </si>
  <si>
    <t>TIPO</t>
  </si>
  <si>
    <t>CÓDIGO</t>
  </si>
  <si>
    <t>UA</t>
  </si>
  <si>
    <t>CCO 2022</t>
  </si>
  <si>
    <t>Obrigatória</t>
  </si>
  <si>
    <t>MAT00B</t>
  </si>
  <si>
    <t>Cálculo B</t>
  </si>
  <si>
    <t>IMC</t>
  </si>
  <si>
    <t>Ciências Humanas e Sociais</t>
  </si>
  <si>
    <t>IEPG</t>
  </si>
  <si>
    <t>ADM54H</t>
  </si>
  <si>
    <t>Gestão de Carreira</t>
  </si>
  <si>
    <t>LET007</t>
  </si>
  <si>
    <t>LIBRAS</t>
  </si>
  <si>
    <t>IFQ</t>
  </si>
  <si>
    <t>CCO 2013</t>
  </si>
  <si>
    <t>MAT001</t>
  </si>
  <si>
    <t>Cálculo I</t>
  </si>
  <si>
    <t>MAT021</t>
  </si>
  <si>
    <t>Equações Diferenciais I</t>
  </si>
  <si>
    <t>SIN 2022</t>
  </si>
  <si>
    <t>IEPG04</t>
  </si>
  <si>
    <t>Mapeamento de Processos</t>
  </si>
  <si>
    <t>IEPG14</t>
  </si>
  <si>
    <t>Comportamento Organizacional I</t>
  </si>
  <si>
    <t>IEPG10</t>
  </si>
  <si>
    <r>
      <t xml:space="preserve">Engenharia Econômica </t>
    </r>
    <r>
      <rPr>
        <sz val="10"/>
        <color rgb="FFFF0000"/>
        <rFont val="Calibri"/>
        <family val="2"/>
      </rPr>
      <t>(COM311)</t>
    </r>
  </si>
  <si>
    <t>SIN2017</t>
  </si>
  <si>
    <t>MAT007</t>
  </si>
  <si>
    <r>
      <t>Fundamentos Matemáticos para Informática II</t>
    </r>
    <r>
      <rPr>
        <sz val="10"/>
        <color rgb="FF000000"/>
        <rFont val="Calibri"/>
        <family val="2"/>
      </rPr>
      <t xml:space="preserve"> (MAT00B)</t>
    </r>
  </si>
  <si>
    <t>ADM03E</t>
  </si>
  <si>
    <r>
      <t xml:space="preserve">Empreendedorismo Tecnológico </t>
    </r>
    <r>
      <rPr>
        <sz val="10"/>
        <color rgb="FFFF0000"/>
        <rFont val="Calibri"/>
        <family val="2"/>
      </rPr>
      <t>(SIN312)</t>
    </r>
  </si>
  <si>
    <t>SIN310</t>
  </si>
  <si>
    <t>Introdução à Administração (ADM02H: 1º período de ADM)</t>
  </si>
  <si>
    <t>2º SEMESTRE</t>
  </si>
  <si>
    <t>1º 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</si>
</sst>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0"/>
      <color theme="1"/>
      <name val="Calibri"/>
    </font>
    <font>
      <sz val="10"/>
      <name val="Arial"/>
    </font>
    <font>
      <b/>
      <sz val="10"/>
      <color theme="1"/>
      <name val="Calibri"/>
    </font>
    <font>
      <sz val="10"/>
      <color rgb="FFFF00FF"/>
      <name val="Calibri"/>
    </font>
    <font>
      <sz val="10"/>
      <color rgb="FFFF0000"/>
      <name val="Calibri"/>
    </font>
    <font>
      <b/>
      <sz val="2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trike/>
      <sz val="10"/>
      <color rgb="FFFF0000"/>
      <name val="Calibri"/>
      <family val="2"/>
    </font>
    <font>
      <sz val="10"/>
      <color rgb="FFFF0000"/>
      <name val="Calibri"/>
      <family val="2"/>
    </font>
    <font>
      <b/>
      <sz val="10"/>
      <color rgb="FF000000"/>
      <name val="Arial"/>
      <family val="2"/>
    </font>
    <font>
      <b/>
      <sz val="10"/>
      <color rgb="FFFF00FF"/>
      <name val="Arial"/>
      <family val="2"/>
    </font>
    <font>
      <sz val="10"/>
      <color theme="1"/>
      <name val="Calibri"/>
      <family val="2"/>
    </font>
    <font>
      <sz val="10"/>
      <color rgb="FF9900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CCCC"/>
        <bgColor indexed="64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FFFFFF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FFFFFF"/>
      </right>
      <top style="medium">
        <color rgb="FFCCCCCC"/>
      </top>
      <bottom/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/>
      <diagonal/>
    </border>
    <border>
      <left style="medium">
        <color rgb="FFCCCCCC"/>
      </left>
      <right style="medium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3" fillId="5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1" fillId="0" borderId="10" xfId="0" applyFont="1" applyBorder="1" applyAlignment="1">
      <alignment horizontal="right"/>
    </xf>
    <xf numFmtId="0" fontId="1" fillId="0" borderId="11" xfId="0" applyFont="1" applyBorder="1"/>
    <xf numFmtId="0" fontId="1" fillId="5" borderId="12" xfId="0" applyFont="1" applyFill="1" applyBorder="1" applyAlignment="1">
      <alignment horizontal="center"/>
    </xf>
    <xf numFmtId="0" fontId="5" fillId="0" borderId="4" xfId="0" applyFont="1" applyBorder="1"/>
    <xf numFmtId="0" fontId="1" fillId="0" borderId="13" xfId="0" applyFont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0" borderId="15" xfId="0" applyFont="1" applyBorder="1"/>
    <xf numFmtId="0" fontId="3" fillId="0" borderId="7" xfId="0" applyFont="1" applyBorder="1" applyAlignment="1">
      <alignment horizontal="right"/>
    </xf>
    <xf numFmtId="0" fontId="3" fillId="0" borderId="10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4" fontId="3" fillId="0" borderId="7" xfId="0" applyNumberFormat="1" applyFont="1" applyBorder="1" applyAlignment="1">
      <alignment horizontal="center"/>
    </xf>
    <xf numFmtId="1" fontId="1" fillId="0" borderId="6" xfId="0" applyNumberFormat="1" applyFont="1" applyBorder="1"/>
    <xf numFmtId="0" fontId="1" fillId="0" borderId="10" xfId="0" applyFont="1" applyBorder="1"/>
    <xf numFmtId="0" fontId="3" fillId="0" borderId="16" xfId="0" applyFont="1" applyBorder="1" applyAlignment="1">
      <alignment horizontal="center"/>
    </xf>
    <xf numFmtId="0" fontId="3" fillId="0" borderId="10" xfId="0" applyFont="1" applyBorder="1" applyAlignment="1">
      <alignment horizontal="right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/>
    </xf>
    <xf numFmtId="0" fontId="3" fillId="5" borderId="27" xfId="0" applyFont="1" applyFill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5" borderId="28" xfId="0" applyFont="1" applyFill="1" applyBorder="1" applyAlignment="1">
      <alignment horizontal="center"/>
    </xf>
    <xf numFmtId="0" fontId="8" fillId="0" borderId="25" xfId="0" applyFont="1" applyBorder="1" applyAlignment="1">
      <alignment vertical="center" wrapText="1"/>
    </xf>
    <xf numFmtId="0" fontId="8" fillId="8" borderId="25" xfId="0" applyFont="1" applyFill="1" applyBorder="1" applyAlignment="1">
      <alignment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8" borderId="25" xfId="0" applyFont="1" applyFill="1" applyBorder="1" applyAlignment="1">
      <alignment horizontal="center" vertical="center" wrapText="1"/>
    </xf>
    <xf numFmtId="0" fontId="7" fillId="7" borderId="29" xfId="0" applyFont="1" applyFill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right" vertical="center" wrapText="1"/>
    </xf>
    <xf numFmtId="0" fontId="7" fillId="7" borderId="25" xfId="0" applyFont="1" applyFill="1" applyBorder="1" applyAlignment="1">
      <alignment horizontal="center" vertical="center" wrapText="1"/>
    </xf>
    <xf numFmtId="0" fontId="8" fillId="0" borderId="30" xfId="0" applyFont="1" applyBorder="1" applyAlignment="1">
      <alignment horizontal="right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0" xfId="0" applyFont="1" applyBorder="1" applyAlignment="1">
      <alignment vertical="center" wrapText="1"/>
    </xf>
    <xf numFmtId="0" fontId="7" fillId="7" borderId="30" xfId="0" applyFont="1" applyFill="1" applyBorder="1" applyAlignment="1">
      <alignment horizontal="center" vertical="center" wrapText="1"/>
    </xf>
    <xf numFmtId="0" fontId="8" fillId="8" borderId="30" xfId="0" applyFont="1" applyFill="1" applyBorder="1" applyAlignment="1">
      <alignment vertical="center" wrapText="1"/>
    </xf>
    <xf numFmtId="0" fontId="8" fillId="0" borderId="32" xfId="0" applyFont="1" applyBorder="1" applyAlignment="1">
      <alignment horizontal="right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32" xfId="0" applyFont="1" applyBorder="1" applyAlignment="1">
      <alignment vertical="center" wrapText="1"/>
    </xf>
    <xf numFmtId="0" fontId="7" fillId="7" borderId="32" xfId="0" applyFont="1" applyFill="1" applyBorder="1" applyAlignment="1">
      <alignment horizontal="center" vertical="center" wrapText="1"/>
    </xf>
    <xf numFmtId="0" fontId="8" fillId="8" borderId="32" xfId="0" applyFont="1" applyFill="1" applyBorder="1" applyAlignment="1">
      <alignment vertical="center" wrapText="1"/>
    </xf>
    <xf numFmtId="0" fontId="8" fillId="8" borderId="33" xfId="0" applyFont="1" applyFill="1" applyBorder="1" applyAlignment="1">
      <alignment horizontal="center" vertical="center" wrapText="1"/>
    </xf>
    <xf numFmtId="0" fontId="8" fillId="8" borderId="35" xfId="0" applyFont="1" applyFill="1" applyBorder="1" applyAlignment="1">
      <alignment vertical="center" wrapText="1"/>
    </xf>
    <xf numFmtId="0" fontId="8" fillId="0" borderId="37" xfId="0" applyFont="1" applyBorder="1" applyAlignment="1">
      <alignment horizontal="right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37" xfId="0" applyFont="1" applyBorder="1" applyAlignment="1">
      <alignment vertical="center" wrapText="1"/>
    </xf>
    <xf numFmtId="0" fontId="7" fillId="7" borderId="37" xfId="0" applyFont="1" applyFill="1" applyBorder="1" applyAlignment="1">
      <alignment horizontal="center" vertical="center" wrapText="1"/>
    </xf>
    <xf numFmtId="0" fontId="8" fillId="8" borderId="37" xfId="0" applyFont="1" applyFill="1" applyBorder="1" applyAlignment="1">
      <alignment vertical="center" wrapText="1"/>
    </xf>
    <xf numFmtId="0" fontId="8" fillId="8" borderId="37" xfId="0" applyFont="1" applyFill="1" applyBorder="1" applyAlignment="1">
      <alignment horizontal="center" vertical="center" wrapText="1"/>
    </xf>
    <xf numFmtId="0" fontId="8" fillId="8" borderId="38" xfId="0" applyFont="1" applyFill="1" applyBorder="1" applyAlignment="1">
      <alignment vertical="center" wrapText="1"/>
    </xf>
    <xf numFmtId="0" fontId="8" fillId="0" borderId="39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7" borderId="24" xfId="0" applyFont="1" applyFill="1" applyBorder="1" applyAlignment="1">
      <alignment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40" xfId="0" applyFont="1" applyBorder="1" applyAlignment="1">
      <alignment vertical="center" wrapText="1"/>
    </xf>
    <xf numFmtId="0" fontId="7" fillId="7" borderId="40" xfId="0" applyFont="1" applyFill="1" applyBorder="1" applyAlignment="1">
      <alignment horizontal="center" vertical="center" wrapText="1"/>
    </xf>
    <xf numFmtId="0" fontId="8" fillId="8" borderId="40" xfId="0" applyFont="1" applyFill="1" applyBorder="1" applyAlignment="1">
      <alignment vertical="center" wrapText="1"/>
    </xf>
    <xf numFmtId="0" fontId="8" fillId="8" borderId="40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7" borderId="0" xfId="0" applyFont="1" applyFill="1" applyAlignment="1">
      <alignment vertical="center" wrapText="1"/>
    </xf>
    <xf numFmtId="0" fontId="7" fillId="0" borderId="0" xfId="0" applyFont="1" applyAlignment="1">
      <alignment horizontal="right" vertical="center" wrapText="1"/>
    </xf>
    <xf numFmtId="0" fontId="7" fillId="7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vertical="center"/>
    </xf>
    <xf numFmtId="0" fontId="7" fillId="7" borderId="0" xfId="0" applyFont="1" applyFill="1" applyAlignment="1">
      <alignment horizontal="right" vertical="center" wrapText="1"/>
    </xf>
    <xf numFmtId="0" fontId="11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wrapText="1"/>
    </xf>
    <xf numFmtId="0" fontId="3" fillId="0" borderId="25" xfId="0" applyFont="1" applyBorder="1" applyAlignment="1">
      <alignment horizontal="center"/>
    </xf>
    <xf numFmtId="0" fontId="3" fillId="5" borderId="25" xfId="0" applyFont="1" applyFill="1" applyBorder="1" applyAlignment="1">
      <alignment horizontal="center"/>
    </xf>
    <xf numFmtId="0" fontId="8" fillId="9" borderId="25" xfId="0" applyFont="1" applyFill="1" applyBorder="1" applyAlignment="1">
      <alignment horizontal="center" vertical="center" wrapText="1"/>
    </xf>
    <xf numFmtId="0" fontId="8" fillId="7" borderId="25" xfId="0" applyFont="1" applyFill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10" fillId="0" borderId="25" xfId="0" applyFont="1" applyBorder="1" applyAlignment="1">
      <alignment vertical="center" wrapText="1"/>
    </xf>
    <xf numFmtId="0" fontId="10" fillId="0" borderId="25" xfId="0" applyFont="1" applyBorder="1" applyAlignment="1">
      <alignment horizontal="center" vertical="center" wrapText="1"/>
    </xf>
    <xf numFmtId="0" fontId="1" fillId="0" borderId="25" xfId="0" applyFont="1" applyBorder="1"/>
    <xf numFmtId="0" fontId="1" fillId="4" borderId="25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5" borderId="25" xfId="0" applyFont="1" applyFill="1" applyBorder="1"/>
    <xf numFmtId="0" fontId="1" fillId="5" borderId="25" xfId="0" applyFont="1" applyFill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3" fillId="4" borderId="25" xfId="0" applyFont="1" applyFill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5" xfId="0" applyFont="1" applyBorder="1"/>
    <xf numFmtId="0" fontId="13" fillId="0" borderId="25" xfId="0" applyFont="1" applyBorder="1"/>
    <xf numFmtId="0" fontId="13" fillId="5" borderId="25" xfId="0" applyFont="1" applyFill="1" applyBorder="1"/>
    <xf numFmtId="0" fontId="13" fillId="5" borderId="25" xfId="0" applyFont="1" applyFill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4" fillId="5" borderId="25" xfId="0" applyFont="1" applyFill="1" applyBorder="1" applyAlignment="1">
      <alignment horizontal="center"/>
    </xf>
    <xf numFmtId="0" fontId="1" fillId="4" borderId="25" xfId="0" applyFont="1" applyFill="1" applyBorder="1"/>
    <xf numFmtId="0" fontId="3" fillId="4" borderId="25" xfId="0" applyFont="1" applyFill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12" fillId="7" borderId="0" xfId="0" applyFont="1" applyFill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6" fillId="6" borderId="19" xfId="0" applyFont="1" applyFill="1" applyBorder="1" applyAlignment="1">
      <alignment horizontal="center" vertical="center" wrapText="1"/>
    </xf>
    <xf numFmtId="0" fontId="6" fillId="6" borderId="20" xfId="0" applyFont="1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1" fillId="0" borderId="25" xfId="0" applyFont="1" applyBorder="1" applyAlignment="1">
      <alignment horizontal="center"/>
    </xf>
    <xf numFmtId="0" fontId="2" fillId="0" borderId="25" xfId="0" applyFont="1" applyBorder="1"/>
    <xf numFmtId="0" fontId="6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0" fillId="0" borderId="25" xfId="0" applyBorder="1" applyAlignment="1">
      <alignment vertical="center"/>
    </xf>
    <xf numFmtId="0" fontId="1" fillId="0" borderId="2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5:Z140"/>
  <sheetViews>
    <sheetView showGridLines="0" tabSelected="1" topLeftCell="A4" zoomScale="60" zoomScaleNormal="60" workbookViewId="0">
      <selection activeCell="AK41" sqref="AK41"/>
    </sheetView>
  </sheetViews>
  <sheetFormatPr defaultColWidth="12.5703125" defaultRowHeight="15.75" customHeight="1" x14ac:dyDescent="0.2"/>
  <cols>
    <col min="6" max="6" width="58" bestFit="1" customWidth="1"/>
    <col min="8" max="8" width="5.85546875" bestFit="1" customWidth="1"/>
    <col min="9" max="16" width="4" bestFit="1" customWidth="1"/>
    <col min="17" max="25" width="4.85546875" bestFit="1" customWidth="1"/>
  </cols>
  <sheetData>
    <row r="5" spans="1:26" ht="12.75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4"/>
    </row>
    <row r="6" spans="1:26" ht="13.5" thickBot="1" x14ac:dyDescent="0.25">
      <c r="A6" s="1"/>
      <c r="B6" s="5"/>
      <c r="C6" s="5"/>
      <c r="D6" s="5"/>
      <c r="E6" s="5"/>
      <c r="F6" s="5"/>
      <c r="G6" s="5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  <row r="7" spans="1:26" ht="26.25" x14ac:dyDescent="0.4">
      <c r="A7" s="1"/>
      <c r="B7" s="123" t="s">
        <v>202</v>
      </c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5"/>
      <c r="Z7" s="4"/>
    </row>
    <row r="8" spans="1:26" ht="12.75" x14ac:dyDescent="0.2">
      <c r="A8" s="1"/>
      <c r="B8" s="82" t="s">
        <v>40</v>
      </c>
      <c r="C8" s="82" t="s">
        <v>41</v>
      </c>
      <c r="D8" s="82" t="s">
        <v>42</v>
      </c>
      <c r="E8" s="82" t="s">
        <v>43</v>
      </c>
      <c r="F8" s="82" t="s">
        <v>44</v>
      </c>
      <c r="G8" s="82" t="s">
        <v>45</v>
      </c>
      <c r="H8" s="82">
        <v>1</v>
      </c>
      <c r="I8" s="83">
        <v>2</v>
      </c>
      <c r="J8" s="82">
        <v>3</v>
      </c>
      <c r="K8" s="83">
        <v>4</v>
      </c>
      <c r="L8" s="82">
        <v>5</v>
      </c>
      <c r="M8" s="83">
        <v>6</v>
      </c>
      <c r="N8" s="82">
        <v>7</v>
      </c>
      <c r="O8" s="83">
        <v>8</v>
      </c>
      <c r="P8" s="82">
        <v>9</v>
      </c>
      <c r="Q8" s="83">
        <v>10</v>
      </c>
      <c r="R8" s="82">
        <v>11</v>
      </c>
      <c r="S8" s="83">
        <v>12</v>
      </c>
      <c r="T8" s="82">
        <v>13</v>
      </c>
      <c r="U8" s="83">
        <v>14</v>
      </c>
      <c r="V8" s="82">
        <v>15</v>
      </c>
      <c r="W8" s="83">
        <v>16</v>
      </c>
      <c r="X8" s="82">
        <v>17</v>
      </c>
      <c r="Y8" s="83">
        <v>18</v>
      </c>
      <c r="Z8" s="4"/>
    </row>
    <row r="9" spans="1:26" ht="12.75" x14ac:dyDescent="0.2">
      <c r="A9" s="11"/>
      <c r="B9" s="119" t="s">
        <v>46</v>
      </c>
      <c r="C9" s="119">
        <v>2022</v>
      </c>
      <c r="D9" s="90">
        <v>1</v>
      </c>
      <c r="E9" s="91" t="s">
        <v>3</v>
      </c>
      <c r="F9" s="89" t="s">
        <v>47</v>
      </c>
      <c r="G9" s="82">
        <v>4</v>
      </c>
      <c r="H9" s="98"/>
      <c r="I9" s="99"/>
      <c r="J9" s="98"/>
      <c r="K9" s="99"/>
      <c r="L9" s="98"/>
      <c r="M9" s="99"/>
      <c r="N9" s="98"/>
      <c r="O9" s="99"/>
      <c r="P9" s="98"/>
      <c r="Q9" s="99"/>
      <c r="R9" s="98"/>
      <c r="S9" s="99"/>
      <c r="T9" s="98"/>
      <c r="U9" s="100">
        <v>4</v>
      </c>
      <c r="V9" s="98"/>
      <c r="W9" s="99"/>
      <c r="X9" s="98"/>
      <c r="Y9" s="99"/>
      <c r="Z9" s="4" t="str">
        <f t="shared" ref="Z9:Z25" si="0">IF(SUM(H9:Y9)=G9,"","Erro")</f>
        <v/>
      </c>
    </row>
    <row r="10" spans="1:26" ht="12.75" x14ac:dyDescent="0.2">
      <c r="A10" s="11"/>
      <c r="B10" s="120"/>
      <c r="C10" s="120"/>
      <c r="D10" s="90">
        <v>1</v>
      </c>
      <c r="E10" s="91" t="s">
        <v>1</v>
      </c>
      <c r="F10" s="89" t="s">
        <v>48</v>
      </c>
      <c r="G10" s="82">
        <v>4</v>
      </c>
      <c r="H10" s="98"/>
      <c r="I10" s="99"/>
      <c r="J10" s="98"/>
      <c r="K10" s="99"/>
      <c r="L10" s="98"/>
      <c r="M10" s="99"/>
      <c r="N10" s="98"/>
      <c r="O10" s="99"/>
      <c r="P10" s="98"/>
      <c r="Q10" s="99"/>
      <c r="R10" s="98"/>
      <c r="S10" s="100">
        <v>4</v>
      </c>
      <c r="T10" s="98"/>
      <c r="U10" s="99"/>
      <c r="V10" s="98"/>
      <c r="W10" s="99"/>
      <c r="X10" s="98"/>
      <c r="Y10" s="99"/>
      <c r="Z10" s="4" t="str">
        <f t="shared" si="0"/>
        <v/>
      </c>
    </row>
    <row r="11" spans="1:26" ht="12.75" x14ac:dyDescent="0.2">
      <c r="A11" s="11"/>
      <c r="B11" s="120"/>
      <c r="C11" s="120"/>
      <c r="D11" s="90">
        <v>1</v>
      </c>
      <c r="E11" s="91" t="s">
        <v>0</v>
      </c>
      <c r="F11" s="89" t="s">
        <v>49</v>
      </c>
      <c r="G11" s="82">
        <v>4</v>
      </c>
      <c r="H11" s="98"/>
      <c r="I11" s="99"/>
      <c r="J11" s="98"/>
      <c r="K11" s="99"/>
      <c r="L11" s="101">
        <v>4</v>
      </c>
      <c r="M11" s="99"/>
      <c r="N11" s="98"/>
      <c r="O11" s="99"/>
      <c r="P11" s="98"/>
      <c r="Q11" s="99"/>
      <c r="R11" s="98"/>
      <c r="S11" s="99"/>
      <c r="T11" s="98"/>
      <c r="U11" s="99"/>
      <c r="V11" s="98"/>
      <c r="W11" s="99"/>
      <c r="X11" s="98"/>
      <c r="Y11" s="99"/>
      <c r="Z11" s="4" t="str">
        <f t="shared" si="0"/>
        <v/>
      </c>
    </row>
    <row r="12" spans="1:26" ht="12.75" x14ac:dyDescent="0.2">
      <c r="A12" s="11"/>
      <c r="B12" s="120"/>
      <c r="C12" s="120"/>
      <c r="D12" s="90">
        <v>1</v>
      </c>
      <c r="E12" s="91" t="s">
        <v>2</v>
      </c>
      <c r="F12" s="89" t="s">
        <v>50</v>
      </c>
      <c r="G12" s="82">
        <v>2</v>
      </c>
      <c r="H12" s="98"/>
      <c r="I12" s="99"/>
      <c r="J12" s="98"/>
      <c r="K12" s="99"/>
      <c r="L12" s="98"/>
      <c r="M12" s="99"/>
      <c r="N12" s="98"/>
      <c r="O12" s="99"/>
      <c r="P12" s="98"/>
      <c r="Q12" s="99"/>
      <c r="R12" s="98"/>
      <c r="S12" s="99"/>
      <c r="T12" s="98"/>
      <c r="U12" s="99"/>
      <c r="V12" s="98"/>
      <c r="W12" s="99"/>
      <c r="X12" s="101">
        <v>2</v>
      </c>
      <c r="Y12" s="99"/>
      <c r="Z12" s="4" t="str">
        <f t="shared" si="0"/>
        <v/>
      </c>
    </row>
    <row r="13" spans="1:26" ht="12.75" x14ac:dyDescent="0.2">
      <c r="A13" s="11"/>
      <c r="B13" s="120"/>
      <c r="C13" s="120"/>
      <c r="D13" s="94">
        <v>3</v>
      </c>
      <c r="E13" s="91" t="s">
        <v>8</v>
      </c>
      <c r="F13" s="89" t="s">
        <v>51</v>
      </c>
      <c r="G13" s="82">
        <v>4</v>
      </c>
      <c r="H13" s="98"/>
      <c r="I13" s="99"/>
      <c r="J13" s="98"/>
      <c r="K13" s="99"/>
      <c r="L13" s="98"/>
      <c r="M13" s="99"/>
      <c r="N13" s="98"/>
      <c r="O13" s="99"/>
      <c r="P13" s="101">
        <v>4</v>
      </c>
      <c r="Q13" s="99"/>
      <c r="R13" s="98"/>
      <c r="S13" s="99"/>
      <c r="T13" s="98"/>
      <c r="U13" s="99"/>
      <c r="V13" s="98"/>
      <c r="W13" s="99"/>
      <c r="X13" s="98"/>
      <c r="Y13" s="99"/>
      <c r="Z13" s="4" t="str">
        <f t="shared" si="0"/>
        <v/>
      </c>
    </row>
    <row r="14" spans="1:26" ht="12.75" x14ac:dyDescent="0.2">
      <c r="A14" s="11"/>
      <c r="B14" s="120"/>
      <c r="C14" s="120"/>
      <c r="D14" s="94">
        <v>3</v>
      </c>
      <c r="E14" s="91" t="s">
        <v>6</v>
      </c>
      <c r="F14" s="89" t="s">
        <v>52</v>
      </c>
      <c r="G14" s="82">
        <v>4</v>
      </c>
      <c r="H14" s="101">
        <v>4</v>
      </c>
      <c r="I14" s="99"/>
      <c r="J14" s="98"/>
      <c r="K14" s="99"/>
      <c r="L14" s="98"/>
      <c r="M14" s="99"/>
      <c r="N14" s="98"/>
      <c r="O14" s="99"/>
      <c r="P14" s="98"/>
      <c r="Q14" s="99"/>
      <c r="R14" s="98"/>
      <c r="S14" s="99"/>
      <c r="T14" s="98"/>
      <c r="U14" s="99"/>
      <c r="V14" s="98"/>
      <c r="W14" s="99"/>
      <c r="X14" s="98"/>
      <c r="Y14" s="99"/>
      <c r="Z14" s="4" t="str">
        <f t="shared" si="0"/>
        <v/>
      </c>
    </row>
    <row r="15" spans="1:26" ht="12.75" x14ac:dyDescent="0.2">
      <c r="A15" s="11"/>
      <c r="B15" s="120"/>
      <c r="C15" s="120"/>
      <c r="D15" s="94">
        <v>3</v>
      </c>
      <c r="E15" s="91" t="s">
        <v>9</v>
      </c>
      <c r="F15" s="89" t="s">
        <v>53</v>
      </c>
      <c r="G15" s="82">
        <v>4</v>
      </c>
      <c r="H15" s="98"/>
      <c r="I15" s="99"/>
      <c r="J15" s="98"/>
      <c r="K15" s="99"/>
      <c r="L15" s="98"/>
      <c r="M15" s="99"/>
      <c r="N15" s="98"/>
      <c r="O15" s="99"/>
      <c r="P15" s="98"/>
      <c r="Q15" s="99"/>
      <c r="R15" s="98"/>
      <c r="S15" s="99"/>
      <c r="T15" s="98"/>
      <c r="U15" s="99"/>
      <c r="V15" s="98"/>
      <c r="W15" s="99"/>
      <c r="X15" s="98"/>
      <c r="Y15" s="100">
        <v>4</v>
      </c>
      <c r="Z15" s="4" t="str">
        <f t="shared" si="0"/>
        <v/>
      </c>
    </row>
    <row r="16" spans="1:26" ht="12.75" x14ac:dyDescent="0.2">
      <c r="A16" s="11"/>
      <c r="B16" s="120"/>
      <c r="C16" s="120"/>
      <c r="D16" s="94">
        <v>3</v>
      </c>
      <c r="E16" s="91" t="s">
        <v>11</v>
      </c>
      <c r="F16" s="89" t="s">
        <v>54</v>
      </c>
      <c r="G16" s="82">
        <v>4</v>
      </c>
      <c r="H16" s="98"/>
      <c r="I16" s="99"/>
      <c r="J16" s="98"/>
      <c r="K16" s="99"/>
      <c r="L16" s="98"/>
      <c r="M16" s="99"/>
      <c r="N16" s="98"/>
      <c r="O16" s="99"/>
      <c r="P16" s="98"/>
      <c r="Q16" s="99"/>
      <c r="R16" s="98"/>
      <c r="S16" s="100">
        <v>4</v>
      </c>
      <c r="T16" s="98"/>
      <c r="U16" s="99"/>
      <c r="V16" s="98"/>
      <c r="W16" s="99"/>
      <c r="X16" s="98"/>
      <c r="Y16" s="99"/>
      <c r="Z16" s="4" t="str">
        <f t="shared" si="0"/>
        <v/>
      </c>
    </row>
    <row r="17" spans="1:26" ht="12.75" x14ac:dyDescent="0.2">
      <c r="A17" s="11"/>
      <c r="B17" s="120"/>
      <c r="C17" s="120"/>
      <c r="D17" s="94">
        <v>3</v>
      </c>
      <c r="E17" s="91" t="s">
        <v>10</v>
      </c>
      <c r="F17" s="89" t="s">
        <v>55</v>
      </c>
      <c r="G17" s="82">
        <v>4</v>
      </c>
      <c r="H17" s="98"/>
      <c r="I17" s="99"/>
      <c r="J17" s="98"/>
      <c r="K17" s="99"/>
      <c r="L17" s="98"/>
      <c r="M17" s="99"/>
      <c r="N17" s="98"/>
      <c r="O17" s="99"/>
      <c r="P17" s="98"/>
      <c r="Q17" s="99"/>
      <c r="R17" s="98"/>
      <c r="S17" s="99"/>
      <c r="T17" s="98"/>
      <c r="U17" s="99"/>
      <c r="V17" s="101">
        <v>4</v>
      </c>
      <c r="W17" s="99"/>
      <c r="X17" s="98"/>
      <c r="Y17" s="99"/>
      <c r="Z17" s="4" t="str">
        <f t="shared" si="0"/>
        <v/>
      </c>
    </row>
    <row r="18" spans="1:26" ht="12.75" x14ac:dyDescent="0.2">
      <c r="A18" s="11"/>
      <c r="B18" s="120"/>
      <c r="C18" s="120"/>
      <c r="D18" s="94">
        <v>3</v>
      </c>
      <c r="E18" s="91" t="s">
        <v>7</v>
      </c>
      <c r="F18" s="89" t="s">
        <v>56</v>
      </c>
      <c r="G18" s="82">
        <v>4</v>
      </c>
      <c r="H18" s="98"/>
      <c r="I18" s="99"/>
      <c r="J18" s="98"/>
      <c r="K18" s="99"/>
      <c r="L18" s="98"/>
      <c r="M18" s="99"/>
      <c r="N18" s="98"/>
      <c r="O18" s="99"/>
      <c r="P18" s="101">
        <v>4</v>
      </c>
      <c r="Q18" s="99"/>
      <c r="R18" s="98"/>
      <c r="S18" s="99"/>
      <c r="T18" s="98"/>
      <c r="U18" s="99"/>
      <c r="V18" s="98"/>
      <c r="W18" s="99"/>
      <c r="X18" s="98"/>
      <c r="Y18" s="99"/>
      <c r="Z18" s="4" t="str">
        <f t="shared" si="0"/>
        <v/>
      </c>
    </row>
    <row r="19" spans="1:26" ht="12.75" x14ac:dyDescent="0.2">
      <c r="A19" s="11"/>
      <c r="B19" s="120"/>
      <c r="C19" s="120"/>
      <c r="D19" s="94">
        <v>5</v>
      </c>
      <c r="E19" s="91" t="s">
        <v>17</v>
      </c>
      <c r="F19" s="89" t="s">
        <v>57</v>
      </c>
      <c r="G19" s="82">
        <v>4</v>
      </c>
      <c r="H19" s="98"/>
      <c r="I19" s="99"/>
      <c r="J19" s="98"/>
      <c r="K19" s="99"/>
      <c r="L19" s="101">
        <v>4</v>
      </c>
      <c r="M19" s="99"/>
      <c r="N19" s="98"/>
      <c r="O19" s="99"/>
      <c r="P19" s="98"/>
      <c r="Q19" s="99"/>
      <c r="R19" s="98"/>
      <c r="S19" s="99"/>
      <c r="T19" s="98"/>
      <c r="U19" s="99"/>
      <c r="V19" s="98"/>
      <c r="W19" s="99"/>
      <c r="X19" s="98"/>
      <c r="Y19" s="99"/>
      <c r="Z19" s="4" t="str">
        <f t="shared" si="0"/>
        <v/>
      </c>
    </row>
    <row r="20" spans="1:26" ht="12.75" x14ac:dyDescent="0.2">
      <c r="A20" s="11"/>
      <c r="B20" s="120"/>
      <c r="C20" s="120"/>
      <c r="D20" s="94">
        <v>5</v>
      </c>
      <c r="E20" s="91" t="s">
        <v>16</v>
      </c>
      <c r="F20" s="89" t="s">
        <v>58</v>
      </c>
      <c r="G20" s="82">
        <v>4</v>
      </c>
      <c r="H20" s="98"/>
      <c r="I20" s="99"/>
      <c r="J20" s="98"/>
      <c r="K20" s="99"/>
      <c r="L20" s="98"/>
      <c r="M20" s="99"/>
      <c r="N20" s="98"/>
      <c r="O20" s="99"/>
      <c r="P20" s="98"/>
      <c r="Q20" s="99"/>
      <c r="R20" s="98"/>
      <c r="S20" s="99"/>
      <c r="T20" s="98"/>
      <c r="U20" s="99"/>
      <c r="V20" s="98"/>
      <c r="W20" s="100">
        <v>4</v>
      </c>
      <c r="X20" s="98"/>
      <c r="Y20" s="99"/>
      <c r="Z20" s="4" t="str">
        <f t="shared" si="0"/>
        <v/>
      </c>
    </row>
    <row r="21" spans="1:26" ht="12.75" x14ac:dyDescent="0.2">
      <c r="A21" s="11"/>
      <c r="B21" s="120"/>
      <c r="C21" s="120"/>
      <c r="D21" s="94">
        <v>5</v>
      </c>
      <c r="E21" s="91" t="s">
        <v>18</v>
      </c>
      <c r="F21" s="89" t="s">
        <v>59</v>
      </c>
      <c r="G21" s="82">
        <v>4</v>
      </c>
      <c r="H21" s="98"/>
      <c r="I21" s="99"/>
      <c r="J21" s="98"/>
      <c r="K21" s="99"/>
      <c r="L21" s="98"/>
      <c r="M21" s="99"/>
      <c r="N21" s="98"/>
      <c r="O21" s="99"/>
      <c r="P21" s="98"/>
      <c r="Q21" s="99"/>
      <c r="R21" s="101">
        <v>4</v>
      </c>
      <c r="S21" s="99"/>
      <c r="T21" s="98"/>
      <c r="U21" s="99"/>
      <c r="V21" s="98"/>
      <c r="W21" s="99"/>
      <c r="X21" s="98"/>
      <c r="Y21" s="99"/>
      <c r="Z21" s="4" t="str">
        <f t="shared" si="0"/>
        <v/>
      </c>
    </row>
    <row r="22" spans="1:26" ht="12.75" x14ac:dyDescent="0.2">
      <c r="A22" s="11"/>
      <c r="B22" s="120"/>
      <c r="C22" s="120"/>
      <c r="D22" s="94">
        <v>5</v>
      </c>
      <c r="E22" s="91" t="s">
        <v>20</v>
      </c>
      <c r="F22" s="89" t="s">
        <v>60</v>
      </c>
      <c r="G22" s="82">
        <v>4</v>
      </c>
      <c r="H22" s="98"/>
      <c r="I22" s="99"/>
      <c r="J22" s="98"/>
      <c r="K22" s="99"/>
      <c r="L22" s="98"/>
      <c r="M22" s="99"/>
      <c r="N22" s="101">
        <v>4</v>
      </c>
      <c r="O22" s="99"/>
      <c r="P22" s="98"/>
      <c r="Q22" s="99"/>
      <c r="R22" s="98"/>
      <c r="S22" s="99"/>
      <c r="T22" s="98"/>
      <c r="U22" s="99"/>
      <c r="V22" s="98"/>
      <c r="W22" s="99"/>
      <c r="X22" s="98"/>
      <c r="Y22" s="99"/>
      <c r="Z22" s="4" t="str">
        <f t="shared" si="0"/>
        <v/>
      </c>
    </row>
    <row r="23" spans="1:26" ht="12.75" x14ac:dyDescent="0.2">
      <c r="A23" s="11"/>
      <c r="B23" s="120"/>
      <c r="C23" s="120"/>
      <c r="D23" s="94">
        <v>5</v>
      </c>
      <c r="E23" s="91" t="s">
        <v>19</v>
      </c>
      <c r="F23" s="89" t="s">
        <v>61</v>
      </c>
      <c r="G23" s="82">
        <v>4</v>
      </c>
      <c r="H23" s="98"/>
      <c r="I23" s="99"/>
      <c r="J23" s="98"/>
      <c r="K23" s="99"/>
      <c r="L23" s="98"/>
      <c r="M23" s="99"/>
      <c r="N23" s="101">
        <v>4</v>
      </c>
      <c r="O23" s="99"/>
      <c r="P23" s="98"/>
      <c r="Q23" s="99"/>
      <c r="R23" s="98"/>
      <c r="S23" s="99"/>
      <c r="T23" s="98"/>
      <c r="U23" s="99"/>
      <c r="V23" s="98"/>
      <c r="W23" s="99"/>
      <c r="X23" s="98"/>
      <c r="Y23" s="99"/>
      <c r="Z23" s="4" t="str">
        <f t="shared" si="0"/>
        <v/>
      </c>
    </row>
    <row r="24" spans="1:26" ht="12.75" x14ac:dyDescent="0.2">
      <c r="A24" s="11"/>
      <c r="B24" s="120"/>
      <c r="C24" s="120"/>
      <c r="D24" s="90">
        <v>7</v>
      </c>
      <c r="E24" s="91" t="s">
        <v>26</v>
      </c>
      <c r="F24" s="89" t="s">
        <v>62</v>
      </c>
      <c r="G24" s="95">
        <v>4</v>
      </c>
      <c r="H24" s="98"/>
      <c r="I24" s="100">
        <v>4</v>
      </c>
      <c r="J24" s="98"/>
      <c r="K24" s="99"/>
      <c r="L24" s="98"/>
      <c r="M24" s="99"/>
      <c r="N24" s="98"/>
      <c r="O24" s="99"/>
      <c r="P24" s="98"/>
      <c r="Q24" s="99"/>
      <c r="R24" s="98"/>
      <c r="S24" s="99"/>
      <c r="T24" s="98"/>
      <c r="U24" s="99"/>
      <c r="V24" s="98"/>
      <c r="W24" s="99"/>
      <c r="X24" s="98"/>
      <c r="Y24" s="99"/>
      <c r="Z24" s="4" t="str">
        <f t="shared" si="0"/>
        <v/>
      </c>
    </row>
    <row r="25" spans="1:26" ht="12.75" x14ac:dyDescent="0.2">
      <c r="A25" s="3"/>
      <c r="B25" s="120"/>
      <c r="C25" s="120"/>
      <c r="D25" s="90">
        <v>7</v>
      </c>
      <c r="E25" s="91" t="s">
        <v>25</v>
      </c>
      <c r="F25" s="89" t="s">
        <v>63</v>
      </c>
      <c r="G25" s="95">
        <v>4</v>
      </c>
      <c r="H25" s="98"/>
      <c r="I25" s="100">
        <v>4</v>
      </c>
      <c r="J25" s="98"/>
      <c r="K25" s="99"/>
      <c r="L25" s="98"/>
      <c r="M25" s="99"/>
      <c r="N25" s="98"/>
      <c r="O25" s="99"/>
      <c r="P25" s="98"/>
      <c r="Q25" s="99"/>
      <c r="R25" s="98"/>
      <c r="S25" s="99"/>
      <c r="T25" s="98"/>
      <c r="U25" s="99"/>
      <c r="V25" s="98"/>
      <c r="W25" s="99"/>
      <c r="X25" s="98"/>
      <c r="Y25" s="99"/>
      <c r="Z25" s="4" t="str">
        <f t="shared" si="0"/>
        <v/>
      </c>
    </row>
    <row r="26" spans="1:26" ht="12.75" x14ac:dyDescent="0.2">
      <c r="A26" s="3"/>
      <c r="B26" s="104" t="s">
        <v>64</v>
      </c>
      <c r="C26" s="104">
        <v>2022</v>
      </c>
      <c r="D26" s="90">
        <v>1</v>
      </c>
      <c r="E26" s="91" t="s">
        <v>3</v>
      </c>
      <c r="F26" s="89" t="s">
        <v>47</v>
      </c>
      <c r="G26" s="82">
        <v>4</v>
      </c>
      <c r="H26" s="98"/>
      <c r="I26" s="99"/>
      <c r="J26" s="98"/>
      <c r="K26" s="99"/>
      <c r="L26" s="98"/>
      <c r="M26" s="100">
        <v>4</v>
      </c>
      <c r="N26" s="98"/>
      <c r="O26" s="99"/>
      <c r="P26" s="98"/>
      <c r="Q26" s="99"/>
      <c r="R26" s="98"/>
      <c r="S26" s="99"/>
      <c r="T26" s="98"/>
      <c r="U26" s="99"/>
      <c r="V26" s="98"/>
      <c r="W26" s="99"/>
      <c r="X26" s="98"/>
      <c r="Y26" s="99"/>
      <c r="Z26" s="4"/>
    </row>
    <row r="27" spans="1:26" ht="15.75" customHeight="1" x14ac:dyDescent="0.2">
      <c r="A27" s="3"/>
      <c r="B27" s="104"/>
      <c r="C27" s="126"/>
      <c r="D27" s="90">
        <v>1</v>
      </c>
      <c r="E27" s="91" t="s">
        <v>4</v>
      </c>
      <c r="F27" s="89" t="s">
        <v>50</v>
      </c>
      <c r="G27" s="82">
        <v>2</v>
      </c>
      <c r="H27" s="98"/>
      <c r="I27" s="99"/>
      <c r="J27" s="98"/>
      <c r="K27" s="99"/>
      <c r="L27" s="98"/>
      <c r="M27" s="99"/>
      <c r="N27" s="98"/>
      <c r="O27" s="99"/>
      <c r="P27" s="98"/>
      <c r="Q27" s="99"/>
      <c r="R27" s="98"/>
      <c r="S27" s="99"/>
      <c r="T27" s="98"/>
      <c r="U27" s="100">
        <v>2</v>
      </c>
      <c r="V27" s="98"/>
      <c r="W27" s="99"/>
      <c r="X27" s="98"/>
      <c r="Y27" s="99"/>
      <c r="Z27" s="4"/>
    </row>
    <row r="28" spans="1:26" ht="15.75" customHeight="1" x14ac:dyDescent="0.2">
      <c r="A28" s="3"/>
      <c r="B28" s="104"/>
      <c r="C28" s="126"/>
      <c r="D28" s="90">
        <v>1</v>
      </c>
      <c r="E28" s="91" t="s">
        <v>5</v>
      </c>
      <c r="F28" s="89" t="s">
        <v>65</v>
      </c>
      <c r="G28" s="82">
        <v>4</v>
      </c>
      <c r="H28" s="98"/>
      <c r="I28" s="99"/>
      <c r="J28" s="98"/>
      <c r="K28" s="99"/>
      <c r="L28" s="98"/>
      <c r="M28" s="99"/>
      <c r="N28" s="98"/>
      <c r="O28" s="100">
        <v>4</v>
      </c>
      <c r="P28" s="98"/>
      <c r="Q28" s="99"/>
      <c r="R28" s="98"/>
      <c r="S28" s="99"/>
      <c r="T28" s="98"/>
      <c r="U28" s="99"/>
      <c r="V28" s="98"/>
      <c r="W28" s="99"/>
      <c r="X28" s="98"/>
      <c r="Y28" s="99"/>
      <c r="Z28" s="4"/>
    </row>
    <row r="29" spans="1:26" ht="15.75" customHeight="1" x14ac:dyDescent="0.2">
      <c r="A29" s="3"/>
      <c r="B29" s="104"/>
      <c r="C29" s="126"/>
      <c r="D29" s="90">
        <v>3</v>
      </c>
      <c r="E29" s="91" t="s">
        <v>13</v>
      </c>
      <c r="F29" s="89" t="s">
        <v>66</v>
      </c>
      <c r="G29" s="82">
        <v>4</v>
      </c>
      <c r="H29" s="98"/>
      <c r="I29" s="99"/>
      <c r="J29" s="98"/>
      <c r="K29" s="99"/>
      <c r="L29" s="98"/>
      <c r="M29" s="99"/>
      <c r="N29" s="98"/>
      <c r="O29" s="99"/>
      <c r="P29" s="98"/>
      <c r="Q29" s="99"/>
      <c r="R29" s="98"/>
      <c r="S29" s="99"/>
      <c r="T29" s="98"/>
      <c r="U29" s="100">
        <v>4</v>
      </c>
      <c r="V29" s="98"/>
      <c r="W29" s="99"/>
      <c r="X29" s="98"/>
      <c r="Y29" s="99"/>
      <c r="Z29" s="4"/>
    </row>
    <row r="30" spans="1:26" ht="15.75" customHeight="1" x14ac:dyDescent="0.2">
      <c r="A30" s="3"/>
      <c r="B30" s="104"/>
      <c r="C30" s="126"/>
      <c r="D30" s="90">
        <v>3</v>
      </c>
      <c r="E30" s="91" t="s">
        <v>12</v>
      </c>
      <c r="F30" s="89" t="s">
        <v>67</v>
      </c>
      <c r="G30" s="82">
        <v>4</v>
      </c>
      <c r="H30" s="98"/>
      <c r="I30" s="99"/>
      <c r="J30" s="98"/>
      <c r="K30" s="99"/>
      <c r="L30" s="98"/>
      <c r="M30" s="99"/>
      <c r="N30" s="98"/>
      <c r="O30" s="100">
        <v>4</v>
      </c>
      <c r="P30" s="98"/>
      <c r="Q30" s="99"/>
      <c r="R30" s="98"/>
      <c r="S30" s="99"/>
      <c r="T30" s="98"/>
      <c r="U30" s="99"/>
      <c r="V30" s="98"/>
      <c r="W30" s="99"/>
      <c r="X30" s="98"/>
      <c r="Y30" s="99"/>
      <c r="Z30" s="4"/>
    </row>
    <row r="31" spans="1:26" ht="15.75" customHeight="1" x14ac:dyDescent="0.2">
      <c r="A31" s="3"/>
      <c r="B31" s="104"/>
      <c r="C31" s="126"/>
      <c r="D31" s="90">
        <v>3</v>
      </c>
      <c r="E31" s="91" t="s">
        <v>15</v>
      </c>
      <c r="F31" s="89" t="s">
        <v>68</v>
      </c>
      <c r="G31" s="82">
        <v>4</v>
      </c>
      <c r="H31" s="98"/>
      <c r="I31" s="99"/>
      <c r="J31" s="98"/>
      <c r="K31" s="99"/>
      <c r="L31" s="98"/>
      <c r="M31" s="99"/>
      <c r="N31" s="98"/>
      <c r="O31" s="99"/>
      <c r="P31" s="98"/>
      <c r="Q31" s="100">
        <v>4</v>
      </c>
      <c r="R31" s="98"/>
      <c r="S31" s="99"/>
      <c r="T31" s="98"/>
      <c r="U31" s="99"/>
      <c r="V31" s="98"/>
      <c r="W31" s="99"/>
      <c r="X31" s="98"/>
      <c r="Y31" s="99"/>
      <c r="Z31" s="4"/>
    </row>
    <row r="32" spans="1:26" ht="15.75" customHeight="1" x14ac:dyDescent="0.2">
      <c r="A32" s="3"/>
      <c r="B32" s="104"/>
      <c r="C32" s="126"/>
      <c r="D32" s="90">
        <v>3</v>
      </c>
      <c r="E32" s="91" t="s">
        <v>14</v>
      </c>
      <c r="F32" s="89" t="s">
        <v>69</v>
      </c>
      <c r="G32" s="82">
        <v>4</v>
      </c>
      <c r="H32" s="98"/>
      <c r="I32" s="99"/>
      <c r="J32" s="101">
        <v>4</v>
      </c>
      <c r="K32" s="99"/>
      <c r="L32" s="98"/>
      <c r="M32" s="99"/>
      <c r="N32" s="98"/>
      <c r="O32" s="99"/>
      <c r="P32" s="98"/>
      <c r="Q32" s="99"/>
      <c r="R32" s="98"/>
      <c r="S32" s="99"/>
      <c r="T32" s="98"/>
      <c r="U32" s="99"/>
      <c r="V32" s="98"/>
      <c r="W32" s="99"/>
      <c r="X32" s="98"/>
      <c r="Y32" s="99"/>
      <c r="Z32" s="4"/>
    </row>
    <row r="33" spans="1:26" ht="15.75" customHeight="1" x14ac:dyDescent="0.2">
      <c r="A33" s="3"/>
      <c r="B33" s="104"/>
      <c r="C33" s="126"/>
      <c r="D33" s="90">
        <v>5</v>
      </c>
      <c r="E33" s="91" t="s">
        <v>70</v>
      </c>
      <c r="F33" s="89" t="s">
        <v>71</v>
      </c>
      <c r="G33" s="82">
        <v>4</v>
      </c>
      <c r="H33" s="98"/>
      <c r="I33" s="99"/>
      <c r="J33" s="98"/>
      <c r="K33" s="99"/>
      <c r="L33" s="98"/>
      <c r="M33" s="99"/>
      <c r="N33" s="98"/>
      <c r="O33" s="99"/>
      <c r="P33" s="98"/>
      <c r="Q33" s="99"/>
      <c r="R33" s="98"/>
      <c r="S33" s="99"/>
      <c r="T33" s="98"/>
      <c r="U33" s="99"/>
      <c r="V33" s="98"/>
      <c r="W33" s="99"/>
      <c r="X33" s="98"/>
      <c r="Y33" s="100">
        <v>4</v>
      </c>
      <c r="Z33" s="4"/>
    </row>
    <row r="34" spans="1:26" ht="15.75" customHeight="1" x14ac:dyDescent="0.2">
      <c r="A34" s="3"/>
      <c r="B34" s="104"/>
      <c r="C34" s="126"/>
      <c r="D34" s="90">
        <v>5</v>
      </c>
      <c r="E34" s="91" t="s">
        <v>23</v>
      </c>
      <c r="F34" s="89" t="s">
        <v>72</v>
      </c>
      <c r="G34" s="82">
        <v>4</v>
      </c>
      <c r="H34" s="98"/>
      <c r="I34" s="99"/>
      <c r="J34" s="98"/>
      <c r="K34" s="99"/>
      <c r="L34" s="98"/>
      <c r="M34" s="99"/>
      <c r="N34" s="98"/>
      <c r="O34" s="99"/>
      <c r="P34" s="98"/>
      <c r="Q34" s="99"/>
      <c r="R34" s="101">
        <v>4</v>
      </c>
      <c r="S34" s="99"/>
      <c r="T34" s="98"/>
      <c r="U34" s="99"/>
      <c r="V34" s="98"/>
      <c r="W34" s="99"/>
      <c r="X34" s="98"/>
      <c r="Y34" s="99"/>
      <c r="Z34" s="4"/>
    </row>
    <row r="35" spans="1:26" ht="15.75" customHeight="1" x14ac:dyDescent="0.2">
      <c r="A35" s="3"/>
      <c r="B35" s="104"/>
      <c r="C35" s="126"/>
      <c r="D35" s="90">
        <v>5</v>
      </c>
      <c r="E35" s="91" t="s">
        <v>22</v>
      </c>
      <c r="F35" s="89" t="s">
        <v>73</v>
      </c>
      <c r="G35" s="82">
        <v>4</v>
      </c>
      <c r="H35" s="98"/>
      <c r="I35" s="99"/>
      <c r="J35" s="98"/>
      <c r="K35" s="100">
        <v>4</v>
      </c>
      <c r="L35" s="98"/>
      <c r="M35" s="99"/>
      <c r="N35" s="98"/>
      <c r="O35" s="99"/>
      <c r="P35" s="98"/>
      <c r="Q35" s="99"/>
      <c r="R35" s="98"/>
      <c r="S35" s="99"/>
      <c r="T35" s="98"/>
      <c r="U35" s="99"/>
      <c r="V35" s="98"/>
      <c r="W35" s="99"/>
      <c r="X35" s="98"/>
      <c r="Y35" s="99"/>
      <c r="Z35" s="4"/>
    </row>
    <row r="36" spans="1:26" ht="12.75" x14ac:dyDescent="0.2">
      <c r="A36" s="3"/>
      <c r="B36" s="104"/>
      <c r="C36" s="126"/>
      <c r="D36" s="90">
        <v>7</v>
      </c>
      <c r="E36" s="91" t="s">
        <v>27</v>
      </c>
      <c r="F36" s="89" t="s">
        <v>74</v>
      </c>
      <c r="G36" s="95">
        <v>4</v>
      </c>
      <c r="H36" s="98"/>
      <c r="I36" s="99"/>
      <c r="J36" s="98"/>
      <c r="K36" s="99"/>
      <c r="L36" s="98"/>
      <c r="M36" s="99"/>
      <c r="N36" s="98"/>
      <c r="O36" s="99"/>
      <c r="P36" s="98"/>
      <c r="Q36" s="99"/>
      <c r="R36" s="98"/>
      <c r="S36" s="99"/>
      <c r="T36" s="98"/>
      <c r="U36" s="99"/>
      <c r="V36" s="98"/>
      <c r="W36" s="99"/>
      <c r="X36" s="101">
        <v>4</v>
      </c>
      <c r="Y36" s="99"/>
      <c r="Z36" s="4"/>
    </row>
    <row r="37" spans="1:26" ht="12.75" x14ac:dyDescent="0.2">
      <c r="A37" s="3"/>
      <c r="B37" s="104"/>
      <c r="C37" s="126"/>
      <c r="D37" s="90">
        <v>7</v>
      </c>
      <c r="E37" s="91" t="s">
        <v>28</v>
      </c>
      <c r="F37" s="89" t="s">
        <v>75</v>
      </c>
      <c r="G37" s="95">
        <v>4</v>
      </c>
      <c r="H37" s="98"/>
      <c r="I37" s="99"/>
      <c r="J37" s="98"/>
      <c r="K37" s="99"/>
      <c r="L37" s="98"/>
      <c r="M37" s="99"/>
      <c r="N37" s="98"/>
      <c r="O37" s="99"/>
      <c r="P37" s="98"/>
      <c r="Q37" s="99"/>
      <c r="R37" s="98"/>
      <c r="S37" s="99"/>
      <c r="T37" s="98"/>
      <c r="U37" s="99"/>
      <c r="V37" s="98"/>
      <c r="W37" s="100">
        <v>4</v>
      </c>
      <c r="X37" s="98"/>
      <c r="Y37" s="99"/>
      <c r="Z37" s="4"/>
    </row>
    <row r="38" spans="1:26" ht="12.75" x14ac:dyDescent="0.2">
      <c r="A38" s="3"/>
      <c r="B38" s="104"/>
      <c r="C38" s="120"/>
      <c r="D38" s="90">
        <v>9</v>
      </c>
      <c r="E38" s="91" t="s">
        <v>29</v>
      </c>
      <c r="F38" s="89" t="s">
        <v>76</v>
      </c>
      <c r="G38" s="82">
        <v>4</v>
      </c>
      <c r="H38" s="98"/>
      <c r="I38" s="99"/>
      <c r="J38" s="98"/>
      <c r="K38" s="99"/>
      <c r="L38" s="98"/>
      <c r="M38" s="99"/>
      <c r="N38" s="98"/>
      <c r="O38" s="100">
        <v>4</v>
      </c>
      <c r="P38" s="98"/>
      <c r="Q38" s="99"/>
      <c r="R38" s="98"/>
      <c r="S38" s="99"/>
      <c r="T38" s="98"/>
      <c r="U38" s="99"/>
      <c r="V38" s="98"/>
      <c r="W38" s="99"/>
      <c r="X38" s="98"/>
      <c r="Y38" s="99"/>
      <c r="Z38" s="4"/>
    </row>
    <row r="39" spans="1:26" ht="12.75" x14ac:dyDescent="0.2">
      <c r="A39" s="3"/>
      <c r="B39" s="104"/>
      <c r="C39" s="95">
        <v>2017</v>
      </c>
      <c r="D39" s="90">
        <v>7</v>
      </c>
      <c r="E39" s="96" t="s">
        <v>77</v>
      </c>
      <c r="F39" s="97" t="s">
        <v>78</v>
      </c>
      <c r="G39" s="82">
        <v>3</v>
      </c>
      <c r="H39" s="98"/>
      <c r="I39" s="99"/>
      <c r="J39" s="98"/>
      <c r="K39" s="102">
        <v>3</v>
      </c>
      <c r="L39" s="98"/>
      <c r="M39" s="99"/>
      <c r="N39" s="98"/>
      <c r="O39" s="99"/>
      <c r="P39" s="98"/>
      <c r="Q39" s="99"/>
      <c r="R39" s="98"/>
      <c r="S39" s="99"/>
      <c r="T39" s="98"/>
      <c r="U39" s="99"/>
      <c r="V39" s="98"/>
      <c r="W39" s="99"/>
      <c r="X39" s="98"/>
      <c r="Y39" s="99"/>
      <c r="Z39" s="4"/>
    </row>
    <row r="40" spans="1:26" ht="12.75" x14ac:dyDescent="0.2">
      <c r="A40" s="1"/>
      <c r="B40" s="6"/>
      <c r="C40" s="6"/>
      <c r="D40" s="1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4"/>
    </row>
    <row r="41" spans="1:26" ht="12.75" x14ac:dyDescent="0.2">
      <c r="A41" s="1"/>
      <c r="B41" s="119" t="s">
        <v>38</v>
      </c>
      <c r="C41" s="127" t="s">
        <v>79</v>
      </c>
      <c r="D41" s="94" t="s">
        <v>79</v>
      </c>
      <c r="E41" s="94" t="s">
        <v>38</v>
      </c>
      <c r="F41" s="89" t="s">
        <v>80</v>
      </c>
      <c r="G41" s="82">
        <v>4</v>
      </c>
      <c r="H41" s="89"/>
      <c r="I41" s="92"/>
      <c r="J41" s="89"/>
      <c r="K41" s="92"/>
      <c r="L41" s="89"/>
      <c r="M41" s="92"/>
      <c r="N41" s="89"/>
      <c r="O41" s="92"/>
      <c r="P41" s="89"/>
      <c r="Q41" s="93">
        <v>4</v>
      </c>
      <c r="R41" s="89"/>
      <c r="S41" s="92"/>
      <c r="T41" s="89"/>
      <c r="U41" s="92"/>
      <c r="V41" s="89"/>
      <c r="W41" s="92"/>
      <c r="X41" s="89"/>
      <c r="Y41" s="92"/>
      <c r="Z41" s="4"/>
    </row>
    <row r="42" spans="1:26" ht="12.75" x14ac:dyDescent="0.2">
      <c r="A42" s="1"/>
      <c r="B42" s="120"/>
      <c r="C42" s="120"/>
      <c r="D42" s="94" t="s">
        <v>79</v>
      </c>
      <c r="E42" s="94" t="s">
        <v>38</v>
      </c>
      <c r="F42" s="89" t="s">
        <v>81</v>
      </c>
      <c r="G42" s="82">
        <v>4</v>
      </c>
      <c r="H42" s="89"/>
      <c r="I42" s="92"/>
      <c r="J42" s="89"/>
      <c r="K42" s="92"/>
      <c r="L42" s="89"/>
      <c r="M42" s="92"/>
      <c r="N42" s="89"/>
      <c r="O42" s="92"/>
      <c r="P42" s="89"/>
      <c r="Q42" s="93">
        <v>4</v>
      </c>
      <c r="R42" s="89"/>
      <c r="S42" s="92"/>
      <c r="T42" s="89"/>
      <c r="U42" s="92"/>
      <c r="V42" s="89"/>
      <c r="W42" s="92"/>
      <c r="X42" s="89"/>
      <c r="Y42" s="92"/>
      <c r="Z42" s="4"/>
    </row>
    <row r="43" spans="1:26" ht="12.75" x14ac:dyDescent="0.2">
      <c r="A43" s="1"/>
      <c r="B43" s="120"/>
      <c r="C43" s="120"/>
      <c r="D43" s="94" t="s">
        <v>79</v>
      </c>
      <c r="E43" s="94" t="s">
        <v>38</v>
      </c>
      <c r="F43" s="89" t="s">
        <v>82</v>
      </c>
      <c r="G43" s="82">
        <v>4</v>
      </c>
      <c r="H43" s="89"/>
      <c r="I43" s="92"/>
      <c r="J43" s="94">
        <v>4</v>
      </c>
      <c r="K43" s="92"/>
      <c r="L43" s="89"/>
      <c r="M43" s="93">
        <v>4</v>
      </c>
      <c r="N43" s="89"/>
      <c r="O43" s="92"/>
      <c r="P43" s="89"/>
      <c r="Q43" s="93">
        <v>4</v>
      </c>
      <c r="R43" s="89"/>
      <c r="S43" s="92"/>
      <c r="T43" s="89"/>
      <c r="U43" s="92"/>
      <c r="V43" s="89"/>
      <c r="W43" s="92"/>
      <c r="X43" s="89"/>
      <c r="Y43" s="92"/>
      <c r="Z43" s="14"/>
    </row>
    <row r="44" spans="1:26" ht="12.75" x14ac:dyDescent="0.2">
      <c r="A44" s="1"/>
      <c r="B44" s="120"/>
      <c r="C44" s="120"/>
      <c r="D44" s="94" t="s">
        <v>79</v>
      </c>
      <c r="E44" s="94" t="s">
        <v>38</v>
      </c>
      <c r="F44" s="89" t="s">
        <v>83</v>
      </c>
      <c r="G44" s="82">
        <v>4</v>
      </c>
      <c r="H44" s="89"/>
      <c r="I44" s="92"/>
      <c r="J44" s="89"/>
      <c r="K44" s="92"/>
      <c r="L44" s="89"/>
      <c r="M44" s="92"/>
      <c r="N44" s="89"/>
      <c r="O44" s="93">
        <v>4</v>
      </c>
      <c r="P44" s="89"/>
      <c r="Q44" s="92"/>
      <c r="R44" s="89"/>
      <c r="S44" s="92"/>
      <c r="T44" s="89"/>
      <c r="U44" s="92"/>
      <c r="V44" s="89"/>
      <c r="W44" s="92"/>
      <c r="X44" s="89"/>
      <c r="Y44" s="92"/>
      <c r="Z44" s="4"/>
    </row>
    <row r="45" spans="1:26" ht="12.75" x14ac:dyDescent="0.2">
      <c r="A45" s="1"/>
      <c r="B45" s="120"/>
      <c r="C45" s="120"/>
      <c r="D45" s="94" t="s">
        <v>79</v>
      </c>
      <c r="E45" s="94" t="s">
        <v>38</v>
      </c>
      <c r="F45" s="89" t="s">
        <v>84</v>
      </c>
      <c r="G45" s="82">
        <v>4</v>
      </c>
      <c r="H45" s="89"/>
      <c r="I45" s="92"/>
      <c r="J45" s="94">
        <v>4</v>
      </c>
      <c r="K45" s="92"/>
      <c r="L45" s="89"/>
      <c r="M45" s="93">
        <v>4</v>
      </c>
      <c r="N45" s="89"/>
      <c r="O45" s="92"/>
      <c r="P45" s="89"/>
      <c r="Q45" s="92"/>
      <c r="R45" s="89"/>
      <c r="S45" s="92"/>
      <c r="T45" s="89"/>
      <c r="U45" s="92"/>
      <c r="V45" s="89"/>
      <c r="W45" s="92"/>
      <c r="X45" s="89"/>
      <c r="Y45" s="92"/>
      <c r="Z45" s="14"/>
    </row>
    <row r="46" spans="1:26" ht="12.75" x14ac:dyDescent="0.2">
      <c r="A46" s="2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4"/>
    </row>
    <row r="47" spans="1:26" ht="12.75" x14ac:dyDescent="0.2">
      <c r="A47" s="3"/>
      <c r="B47" s="119" t="s">
        <v>85</v>
      </c>
      <c r="C47" s="121" t="s">
        <v>79</v>
      </c>
      <c r="D47" s="94">
        <v>1</v>
      </c>
      <c r="E47" s="91" t="s">
        <v>32</v>
      </c>
      <c r="F47" s="89" t="s">
        <v>86</v>
      </c>
      <c r="G47" s="82">
        <v>4</v>
      </c>
      <c r="H47" s="89"/>
      <c r="I47" s="93">
        <v>4</v>
      </c>
      <c r="J47" s="89"/>
      <c r="K47" s="92"/>
      <c r="L47" s="89"/>
      <c r="M47" s="92"/>
      <c r="N47" s="89"/>
      <c r="O47" s="92"/>
      <c r="P47" s="89"/>
      <c r="Q47" s="92"/>
      <c r="R47" s="89"/>
      <c r="S47" s="92"/>
      <c r="T47" s="89"/>
      <c r="U47" s="92"/>
      <c r="V47" s="89"/>
      <c r="W47" s="92"/>
      <c r="X47" s="89"/>
      <c r="Y47" s="92"/>
      <c r="Z47" s="4" t="str">
        <f>IF(SUM(H47:Y47)=G47,"","Erro")</f>
        <v/>
      </c>
    </row>
    <row r="48" spans="1:26" ht="12.75" x14ac:dyDescent="0.2">
      <c r="A48" s="3"/>
      <c r="B48" s="120"/>
      <c r="C48" s="122"/>
      <c r="D48" s="94">
        <v>2</v>
      </c>
      <c r="E48" s="91" t="s">
        <v>35</v>
      </c>
      <c r="F48" s="89" t="s">
        <v>87</v>
      </c>
      <c r="G48" s="82">
        <v>4</v>
      </c>
      <c r="H48" s="94">
        <v>4</v>
      </c>
      <c r="I48" s="92"/>
      <c r="J48" s="89"/>
      <c r="K48" s="92"/>
      <c r="L48" s="89"/>
      <c r="M48" s="92"/>
      <c r="N48" s="89"/>
      <c r="O48" s="92"/>
      <c r="P48" s="89"/>
      <c r="Q48" s="92"/>
      <c r="R48" s="89"/>
      <c r="S48" s="92"/>
      <c r="T48" s="89"/>
      <c r="U48" s="92"/>
      <c r="V48" s="89"/>
      <c r="W48" s="92"/>
      <c r="X48" s="89"/>
      <c r="Y48" s="92"/>
      <c r="Z48" s="4" t="str">
        <f>IF(SUM(H48:Y48)=G48,"","Erro")</f>
        <v/>
      </c>
    </row>
    <row r="49" spans="1:26" ht="12.75" x14ac:dyDescent="0.2">
      <c r="A49" s="3"/>
      <c r="B49" s="120"/>
      <c r="C49" s="122"/>
      <c r="D49" s="94">
        <v>3</v>
      </c>
      <c r="E49" s="91" t="s">
        <v>34</v>
      </c>
      <c r="F49" s="89" t="s">
        <v>88</v>
      </c>
      <c r="G49" s="95">
        <v>4</v>
      </c>
      <c r="H49" s="89"/>
      <c r="I49" s="92"/>
      <c r="J49" s="89"/>
      <c r="K49" s="93">
        <v>4</v>
      </c>
      <c r="L49" s="89"/>
      <c r="M49" s="92"/>
      <c r="N49" s="89"/>
      <c r="O49" s="92"/>
      <c r="P49" s="89"/>
      <c r="Q49" s="92"/>
      <c r="R49" s="89"/>
      <c r="S49" s="92"/>
      <c r="T49" s="89"/>
      <c r="U49" s="92"/>
      <c r="V49" s="89"/>
      <c r="W49" s="92"/>
      <c r="X49" s="89"/>
      <c r="Y49" s="92"/>
      <c r="Z49" s="4" t="str">
        <f>IF(SUM(H49:Y49)=G49,"","Erro")</f>
        <v/>
      </c>
    </row>
    <row r="50" spans="1:26" ht="12.75" x14ac:dyDescent="0.2">
      <c r="A50" s="3"/>
      <c r="B50" s="120"/>
      <c r="C50" s="122"/>
      <c r="D50" s="94">
        <v>4</v>
      </c>
      <c r="E50" s="91" t="s">
        <v>33</v>
      </c>
      <c r="F50" s="89" t="s">
        <v>89</v>
      </c>
      <c r="G50" s="95">
        <v>4</v>
      </c>
      <c r="H50" s="89"/>
      <c r="I50" s="92"/>
      <c r="J50" s="89"/>
      <c r="K50" s="92"/>
      <c r="L50" s="89"/>
      <c r="M50" s="92"/>
      <c r="N50" s="94">
        <v>4</v>
      </c>
      <c r="O50" s="92"/>
      <c r="P50" s="89"/>
      <c r="Q50" s="92"/>
      <c r="R50" s="89"/>
      <c r="S50" s="92"/>
      <c r="T50" s="89"/>
      <c r="U50" s="92"/>
      <c r="V50" s="89"/>
      <c r="W50" s="92"/>
      <c r="X50" s="89"/>
      <c r="Y50" s="92"/>
      <c r="Z50" s="4" t="str">
        <f>IF(SUM(H50:Y50)=G50,"","Erro")</f>
        <v/>
      </c>
    </row>
    <row r="51" spans="1:26" ht="12.75" x14ac:dyDescent="0.2">
      <c r="A51" s="1"/>
      <c r="B51" s="120"/>
      <c r="C51" s="122"/>
      <c r="D51" s="94">
        <v>5</v>
      </c>
      <c r="E51" s="91" t="s">
        <v>12</v>
      </c>
      <c r="F51" s="89" t="s">
        <v>90</v>
      </c>
      <c r="G51" s="82">
        <v>4</v>
      </c>
      <c r="H51" s="89"/>
      <c r="I51" s="92"/>
      <c r="J51" s="89"/>
      <c r="K51" s="92"/>
      <c r="L51" s="89"/>
      <c r="M51" s="92"/>
      <c r="N51" s="89"/>
      <c r="O51" s="92"/>
      <c r="P51" s="89"/>
      <c r="Q51" s="92"/>
      <c r="R51" s="89"/>
      <c r="S51" s="92"/>
      <c r="T51" s="89"/>
      <c r="U51" s="92"/>
      <c r="V51" s="89"/>
      <c r="W51" s="92"/>
      <c r="X51" s="89"/>
      <c r="Y51" s="92"/>
      <c r="Z51" s="4"/>
    </row>
    <row r="52" spans="1:26" ht="12.75" x14ac:dyDescent="0.2">
      <c r="A52" s="1"/>
      <c r="B52" s="120"/>
      <c r="C52" s="122"/>
      <c r="D52" s="94">
        <v>6</v>
      </c>
      <c r="E52" s="91" t="s">
        <v>27</v>
      </c>
      <c r="F52" s="89" t="s">
        <v>91</v>
      </c>
      <c r="G52" s="82">
        <v>4</v>
      </c>
      <c r="H52" s="89"/>
      <c r="I52" s="92"/>
      <c r="J52" s="89"/>
      <c r="K52" s="92"/>
      <c r="L52" s="89"/>
      <c r="M52" s="92"/>
      <c r="N52" s="89"/>
      <c r="O52" s="92"/>
      <c r="P52" s="89"/>
      <c r="Q52" s="92"/>
      <c r="R52" s="89"/>
      <c r="S52" s="92"/>
      <c r="T52" s="89"/>
      <c r="U52" s="92"/>
      <c r="V52" s="89"/>
      <c r="W52" s="92"/>
      <c r="X52" s="89"/>
      <c r="Y52" s="92"/>
      <c r="Z52" s="4"/>
    </row>
    <row r="53" spans="1:26" ht="12.75" x14ac:dyDescent="0.2">
      <c r="A53" s="1"/>
      <c r="B53" s="120"/>
      <c r="C53" s="122"/>
      <c r="D53" s="94">
        <v>7</v>
      </c>
      <c r="E53" s="91" t="s">
        <v>29</v>
      </c>
      <c r="F53" s="89" t="s">
        <v>92</v>
      </c>
      <c r="G53" s="82">
        <v>4</v>
      </c>
      <c r="H53" s="89"/>
      <c r="I53" s="92"/>
      <c r="J53" s="89"/>
      <c r="K53" s="92"/>
      <c r="L53" s="89"/>
      <c r="M53" s="92"/>
      <c r="N53" s="89"/>
      <c r="O53" s="92"/>
      <c r="P53" s="89"/>
      <c r="Q53" s="92"/>
      <c r="R53" s="89"/>
      <c r="S53" s="92"/>
      <c r="T53" s="89"/>
      <c r="U53" s="92"/>
      <c r="V53" s="89"/>
      <c r="W53" s="92"/>
      <c r="X53" s="89"/>
      <c r="Y53" s="92"/>
      <c r="Z53" s="4"/>
    </row>
    <row r="54" spans="1:26" ht="12.75" x14ac:dyDescent="0.2">
      <c r="A54" s="3"/>
      <c r="B54" s="120"/>
      <c r="C54" s="122"/>
      <c r="D54" s="94">
        <v>8</v>
      </c>
      <c r="E54" s="91" t="s">
        <v>37</v>
      </c>
      <c r="F54" s="89" t="s">
        <v>93</v>
      </c>
      <c r="G54" s="82">
        <v>4</v>
      </c>
      <c r="H54" s="89"/>
      <c r="I54" s="92"/>
      <c r="J54" s="89"/>
      <c r="K54" s="92"/>
      <c r="L54" s="89"/>
      <c r="M54" s="92"/>
      <c r="N54" s="89"/>
      <c r="O54" s="92"/>
      <c r="P54" s="94">
        <v>4</v>
      </c>
      <c r="Q54" s="92"/>
      <c r="R54" s="89"/>
      <c r="S54" s="92"/>
      <c r="T54" s="89"/>
      <c r="U54" s="92"/>
      <c r="V54" s="89"/>
      <c r="W54" s="92"/>
      <c r="X54" s="89"/>
      <c r="Y54" s="92"/>
      <c r="Z54" s="4" t="str">
        <f t="shared" ref="Z54:Z56" si="1">IF(SUM(H54:Y54)=G54,"","Erro")</f>
        <v/>
      </c>
    </row>
    <row r="55" spans="1:26" ht="12.75" x14ac:dyDescent="0.2">
      <c r="A55" s="3"/>
      <c r="B55" s="120"/>
      <c r="C55" s="122"/>
      <c r="D55" s="94">
        <v>9</v>
      </c>
      <c r="E55" s="91" t="s">
        <v>94</v>
      </c>
      <c r="F55" s="89" t="s">
        <v>95</v>
      </c>
      <c r="G55" s="82">
        <v>4</v>
      </c>
      <c r="H55" s="89"/>
      <c r="I55" s="92"/>
      <c r="J55" s="89"/>
      <c r="K55" s="92"/>
      <c r="L55" s="94">
        <v>4</v>
      </c>
      <c r="M55" s="92"/>
      <c r="N55" s="89"/>
      <c r="O55" s="92"/>
      <c r="P55" s="89"/>
      <c r="Q55" s="92"/>
      <c r="R55" s="89"/>
      <c r="S55" s="92"/>
      <c r="T55" s="89"/>
      <c r="U55" s="92"/>
      <c r="V55" s="89"/>
      <c r="W55" s="92"/>
      <c r="X55" s="89"/>
      <c r="Y55" s="92"/>
      <c r="Z55" s="4" t="str">
        <f t="shared" si="1"/>
        <v/>
      </c>
    </row>
    <row r="56" spans="1:26" ht="12.75" x14ac:dyDescent="0.2">
      <c r="A56" s="3"/>
      <c r="B56" s="120"/>
      <c r="C56" s="122"/>
      <c r="D56" s="94">
        <v>10</v>
      </c>
      <c r="E56" s="91" t="s">
        <v>96</v>
      </c>
      <c r="F56" s="89" t="s">
        <v>97</v>
      </c>
      <c r="G56" s="82">
        <v>4</v>
      </c>
      <c r="H56" s="89"/>
      <c r="I56" s="92"/>
      <c r="J56" s="89"/>
      <c r="K56" s="92"/>
      <c r="L56" s="89"/>
      <c r="M56" s="92"/>
      <c r="N56" s="89"/>
      <c r="O56" s="92"/>
      <c r="P56" s="89"/>
      <c r="Q56" s="92"/>
      <c r="R56" s="89"/>
      <c r="S56" s="92"/>
      <c r="T56" s="89"/>
      <c r="U56" s="92"/>
      <c r="V56" s="94">
        <v>4</v>
      </c>
      <c r="W56" s="92"/>
      <c r="X56" s="89"/>
      <c r="Y56" s="92"/>
      <c r="Z56" s="4" t="str">
        <f t="shared" si="1"/>
        <v/>
      </c>
    </row>
    <row r="57" spans="1:26" ht="12.75" x14ac:dyDescent="0.2">
      <c r="A57" s="1"/>
      <c r="B57" s="120"/>
      <c r="C57" s="122"/>
      <c r="D57" s="94">
        <v>12</v>
      </c>
      <c r="E57" s="91" t="s">
        <v>30</v>
      </c>
      <c r="F57" s="89" t="s">
        <v>98</v>
      </c>
      <c r="G57" s="82">
        <v>4</v>
      </c>
      <c r="H57" s="89"/>
      <c r="I57" s="92"/>
      <c r="J57" s="89"/>
      <c r="K57" s="92"/>
      <c r="L57" s="89"/>
      <c r="M57" s="92"/>
      <c r="N57" s="89"/>
      <c r="O57" s="92"/>
      <c r="P57" s="89"/>
      <c r="Q57" s="92"/>
      <c r="R57" s="89"/>
      <c r="S57" s="93">
        <v>4</v>
      </c>
      <c r="T57" s="89"/>
      <c r="U57" s="92"/>
      <c r="V57" s="89"/>
      <c r="W57" s="92"/>
      <c r="X57" s="89"/>
      <c r="Y57" s="92"/>
      <c r="Z57" s="4"/>
    </row>
    <row r="58" spans="1:26" ht="12.75" x14ac:dyDescent="0.2">
      <c r="A58" s="1"/>
      <c r="B58" s="120"/>
      <c r="C58" s="122"/>
      <c r="D58" s="94">
        <v>13</v>
      </c>
      <c r="E58" s="91" t="s">
        <v>36</v>
      </c>
      <c r="F58" s="89" t="s">
        <v>99</v>
      </c>
      <c r="G58" s="82">
        <v>4</v>
      </c>
      <c r="H58" s="89"/>
      <c r="I58" s="92"/>
      <c r="J58" s="89"/>
      <c r="K58" s="92"/>
      <c r="L58" s="89"/>
      <c r="M58" s="92"/>
      <c r="N58" s="89"/>
      <c r="O58" s="92"/>
      <c r="P58" s="89"/>
      <c r="Q58" s="92"/>
      <c r="R58" s="89"/>
      <c r="S58" s="92"/>
      <c r="T58" s="89"/>
      <c r="U58" s="92"/>
      <c r="V58" s="89"/>
      <c r="W58" s="92"/>
      <c r="X58" s="89"/>
      <c r="Y58" s="93">
        <v>4</v>
      </c>
      <c r="Z58" s="4"/>
    </row>
    <row r="59" spans="1:26" ht="12.75" x14ac:dyDescent="0.2">
      <c r="A59" s="3"/>
      <c r="B59" s="120"/>
      <c r="C59" s="122"/>
      <c r="D59" s="94">
        <v>14</v>
      </c>
      <c r="E59" s="91" t="s">
        <v>31</v>
      </c>
      <c r="F59" s="89" t="s">
        <v>100</v>
      </c>
      <c r="G59" s="82">
        <v>4</v>
      </c>
      <c r="H59" s="89"/>
      <c r="I59" s="92"/>
      <c r="J59" s="89"/>
      <c r="K59" s="92"/>
      <c r="L59" s="89"/>
      <c r="M59" s="92"/>
      <c r="N59" s="89"/>
      <c r="O59" s="92"/>
      <c r="P59" s="89"/>
      <c r="Q59" s="92"/>
      <c r="R59" s="89"/>
      <c r="S59" s="92"/>
      <c r="T59" s="89"/>
      <c r="U59" s="92"/>
      <c r="V59" s="89"/>
      <c r="W59" s="92"/>
      <c r="X59" s="94">
        <v>4</v>
      </c>
      <c r="Y59" s="92"/>
      <c r="Z59" s="4" t="str">
        <f t="shared" ref="Z59:Z61" si="2">IF(SUM(H59:Y59)=G59,"","Erro")</f>
        <v/>
      </c>
    </row>
    <row r="60" spans="1:26" ht="12.75" x14ac:dyDescent="0.2">
      <c r="A60" s="1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4" t="str">
        <f t="shared" si="2"/>
        <v/>
      </c>
    </row>
    <row r="61" spans="1:26" ht="12.75" x14ac:dyDescent="0.2">
      <c r="A61" s="1"/>
      <c r="B61" s="104" t="s">
        <v>101</v>
      </c>
      <c r="C61" s="90" t="s">
        <v>79</v>
      </c>
      <c r="D61" s="90" t="s">
        <v>79</v>
      </c>
      <c r="E61" s="90" t="s">
        <v>102</v>
      </c>
      <c r="F61" s="103" t="s">
        <v>103</v>
      </c>
      <c r="G61" s="95">
        <v>4</v>
      </c>
      <c r="H61" s="94">
        <v>4</v>
      </c>
      <c r="I61" s="92"/>
      <c r="J61" s="89"/>
      <c r="K61" s="92"/>
      <c r="L61" s="89"/>
      <c r="M61" s="92"/>
      <c r="N61" s="89"/>
      <c r="O61" s="92"/>
      <c r="P61" s="89"/>
      <c r="Q61" s="92"/>
      <c r="R61" s="89"/>
      <c r="S61" s="92"/>
      <c r="T61" s="89"/>
      <c r="U61" s="92"/>
      <c r="V61" s="89"/>
      <c r="W61" s="92"/>
      <c r="X61" s="89"/>
      <c r="Y61" s="92"/>
      <c r="Z61" s="4" t="str">
        <f t="shared" si="2"/>
        <v/>
      </c>
    </row>
    <row r="62" spans="1:26" ht="12.75" x14ac:dyDescent="0.2">
      <c r="A62" s="1"/>
      <c r="B62" s="104"/>
      <c r="C62" s="103"/>
      <c r="D62" s="103"/>
      <c r="E62" s="90" t="s">
        <v>104</v>
      </c>
      <c r="F62" s="103" t="s">
        <v>105</v>
      </c>
      <c r="G62" s="95">
        <v>4</v>
      </c>
      <c r="H62" s="89"/>
      <c r="I62" s="92"/>
      <c r="J62" s="89"/>
      <c r="K62" s="92"/>
      <c r="L62" s="89"/>
      <c r="M62" s="92"/>
      <c r="N62" s="89"/>
      <c r="O62" s="92"/>
      <c r="P62" s="89"/>
      <c r="Q62" s="92"/>
      <c r="R62" s="89"/>
      <c r="S62" s="92"/>
      <c r="T62" s="89"/>
      <c r="U62" s="92"/>
      <c r="V62" s="89"/>
      <c r="W62" s="93">
        <v>4</v>
      </c>
      <c r="X62" s="89"/>
      <c r="Y62" s="92"/>
      <c r="Z62" s="4"/>
    </row>
    <row r="63" spans="1:26" ht="12.75" x14ac:dyDescent="0.2">
      <c r="A63" s="1"/>
      <c r="B63" s="104"/>
      <c r="C63" s="103"/>
      <c r="D63" s="103"/>
      <c r="E63" s="90" t="s">
        <v>115</v>
      </c>
      <c r="F63" s="103" t="s">
        <v>114</v>
      </c>
      <c r="G63" s="95">
        <v>4</v>
      </c>
      <c r="H63" s="89"/>
      <c r="I63" s="92"/>
      <c r="J63" s="89"/>
      <c r="K63" s="92"/>
      <c r="L63" s="89"/>
      <c r="M63" s="92"/>
      <c r="N63" s="89"/>
      <c r="O63" s="92"/>
      <c r="P63" s="89"/>
      <c r="Q63" s="92"/>
      <c r="R63" s="89"/>
      <c r="S63" s="92"/>
      <c r="T63" s="89"/>
      <c r="U63" s="92"/>
      <c r="V63" s="94">
        <v>4</v>
      </c>
      <c r="W63" s="92"/>
      <c r="X63" s="89"/>
      <c r="Y63" s="92"/>
      <c r="Z63" s="4"/>
    </row>
    <row r="64" spans="1:26" ht="12.75" x14ac:dyDescent="0.2">
      <c r="A64" s="1"/>
      <c r="B64" s="104"/>
      <c r="C64" s="103"/>
      <c r="D64" s="103"/>
      <c r="E64" s="90" t="s">
        <v>106</v>
      </c>
      <c r="F64" s="103" t="s">
        <v>107</v>
      </c>
      <c r="G64" s="95">
        <v>4</v>
      </c>
      <c r="H64" s="89"/>
      <c r="I64" s="92"/>
      <c r="J64" s="89"/>
      <c r="K64" s="92"/>
      <c r="L64" s="89"/>
      <c r="M64" s="92"/>
      <c r="N64" s="89"/>
      <c r="O64" s="92"/>
      <c r="P64" s="89"/>
      <c r="Q64" s="92"/>
      <c r="R64" s="94">
        <v>4</v>
      </c>
      <c r="S64" s="92"/>
      <c r="T64" s="89"/>
      <c r="U64" s="92"/>
      <c r="V64" s="89"/>
      <c r="W64" s="92"/>
      <c r="X64" s="89"/>
      <c r="Y64" s="92"/>
      <c r="Z64" s="4"/>
    </row>
    <row r="65" spans="1:26" ht="12.75" x14ac:dyDescent="0.2">
      <c r="A65" s="1"/>
      <c r="B65" s="104"/>
      <c r="C65" s="90" t="s">
        <v>79</v>
      </c>
      <c r="D65" s="90" t="s">
        <v>79</v>
      </c>
      <c r="E65" s="90" t="s">
        <v>108</v>
      </c>
      <c r="F65" s="103" t="s">
        <v>109</v>
      </c>
      <c r="G65" s="95">
        <v>4</v>
      </c>
      <c r="H65" s="89"/>
      <c r="I65" s="92"/>
      <c r="J65" s="89"/>
      <c r="K65" s="93">
        <v>4</v>
      </c>
      <c r="L65" s="89"/>
      <c r="M65" s="92"/>
      <c r="N65" s="89"/>
      <c r="O65" s="92"/>
      <c r="P65" s="89"/>
      <c r="Q65" s="92"/>
      <c r="R65" s="89"/>
      <c r="S65" s="92"/>
      <c r="T65" s="89"/>
      <c r="U65" s="92"/>
      <c r="V65" s="89"/>
      <c r="W65" s="92"/>
      <c r="X65" s="89"/>
      <c r="Y65" s="92"/>
      <c r="Z65" s="4"/>
    </row>
    <row r="66" spans="1:26" ht="13.5" thickBot="1" x14ac:dyDescent="0.25">
      <c r="A66" s="1"/>
      <c r="B66" s="12"/>
      <c r="C66" s="12"/>
      <c r="D66" s="12"/>
      <c r="E66" s="12"/>
      <c r="F66" s="12"/>
      <c r="G66" s="12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7"/>
    </row>
    <row r="67" spans="1:26" ht="13.5" thickBot="1" x14ac:dyDescent="0.25">
      <c r="A67" s="1"/>
      <c r="B67" s="7"/>
      <c r="C67" s="7"/>
      <c r="D67" s="7"/>
      <c r="E67" s="7"/>
      <c r="F67" s="18" t="s">
        <v>110</v>
      </c>
      <c r="G67" s="19">
        <f>SUM(G9:G61)</f>
        <v>195</v>
      </c>
      <c r="H67" s="20">
        <f>SUM(H9:H65)</f>
        <v>12</v>
      </c>
      <c r="I67" s="21">
        <f>SUM(I9:I65)</f>
        <v>12</v>
      </c>
      <c r="J67" s="22">
        <f>SUM(J9:J61)</f>
        <v>12</v>
      </c>
      <c r="K67" s="21">
        <f t="shared" ref="K67:Y67" si="3">SUM(K9:K65)</f>
        <v>15</v>
      </c>
      <c r="L67" s="22">
        <f t="shared" si="3"/>
        <v>12</v>
      </c>
      <c r="M67" s="21">
        <f t="shared" si="3"/>
        <v>12</v>
      </c>
      <c r="N67" s="22">
        <f t="shared" si="3"/>
        <v>12</v>
      </c>
      <c r="O67" s="21">
        <f t="shared" si="3"/>
        <v>16</v>
      </c>
      <c r="P67" s="22">
        <f t="shared" si="3"/>
        <v>12</v>
      </c>
      <c r="Q67" s="21">
        <f t="shared" si="3"/>
        <v>16</v>
      </c>
      <c r="R67" s="22">
        <f t="shared" si="3"/>
        <v>12</v>
      </c>
      <c r="S67" s="21">
        <f t="shared" si="3"/>
        <v>12</v>
      </c>
      <c r="T67" s="22">
        <f t="shared" si="3"/>
        <v>0</v>
      </c>
      <c r="U67" s="21">
        <f t="shared" si="3"/>
        <v>10</v>
      </c>
      <c r="V67" s="22">
        <f t="shared" si="3"/>
        <v>12</v>
      </c>
      <c r="W67" s="21">
        <f t="shared" si="3"/>
        <v>12</v>
      </c>
      <c r="X67" s="22">
        <f t="shared" si="3"/>
        <v>10</v>
      </c>
      <c r="Y67" s="23">
        <f t="shared" si="3"/>
        <v>12</v>
      </c>
      <c r="Z67" s="4"/>
    </row>
    <row r="68" spans="1:26" ht="13.5" thickBot="1" x14ac:dyDescent="0.25">
      <c r="A68" s="1"/>
      <c r="B68" s="7"/>
      <c r="C68" s="7"/>
      <c r="D68" s="7"/>
      <c r="E68" s="7"/>
      <c r="F68" s="18" t="s">
        <v>111</v>
      </c>
      <c r="G68" s="24">
        <f>G67/18</f>
        <v>10.833333333333334</v>
      </c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7"/>
    </row>
    <row r="69" spans="1:26" ht="13.5" thickBot="1" x14ac:dyDescent="0.25">
      <c r="A69" s="1"/>
      <c r="B69" s="7"/>
      <c r="C69" s="7"/>
      <c r="D69" s="7"/>
      <c r="E69" s="7"/>
      <c r="F69" s="7"/>
      <c r="G69" s="26"/>
      <c r="H69" s="27">
        <v>1</v>
      </c>
      <c r="I69" s="8">
        <v>2</v>
      </c>
      <c r="J69" s="9">
        <v>3</v>
      </c>
      <c r="K69" s="8">
        <v>4</v>
      </c>
      <c r="L69" s="9">
        <v>5</v>
      </c>
      <c r="M69" s="8">
        <v>6</v>
      </c>
      <c r="N69" s="9">
        <v>7</v>
      </c>
      <c r="O69" s="8">
        <v>8</v>
      </c>
      <c r="P69" s="9">
        <v>9</v>
      </c>
      <c r="Q69" s="8">
        <v>10</v>
      </c>
      <c r="R69" s="9">
        <v>11</v>
      </c>
      <c r="S69" s="8">
        <v>12</v>
      </c>
      <c r="T69" s="9">
        <v>13</v>
      </c>
      <c r="U69" s="8">
        <v>14</v>
      </c>
      <c r="V69" s="9">
        <v>15</v>
      </c>
      <c r="W69" s="8">
        <v>16</v>
      </c>
      <c r="X69" s="9">
        <v>17</v>
      </c>
      <c r="Y69" s="10">
        <v>18</v>
      </c>
      <c r="Z69" s="4"/>
    </row>
    <row r="70" spans="1:26" ht="12.75" x14ac:dyDescent="0.2">
      <c r="A70" s="1"/>
      <c r="B70" s="7"/>
      <c r="C70" s="7"/>
      <c r="D70" s="7"/>
      <c r="E70" s="7"/>
      <c r="F70" s="7"/>
      <c r="G70" s="28" t="s">
        <v>112</v>
      </c>
      <c r="H70" s="29">
        <f>H120</f>
        <v>12</v>
      </c>
      <c r="I70" s="13">
        <f>I120</f>
        <v>11</v>
      </c>
      <c r="J70" s="13">
        <f>J120</f>
        <v>4</v>
      </c>
      <c r="K70" s="13">
        <f t="shared" ref="K70:Y70" si="4">K120</f>
        <v>10</v>
      </c>
      <c r="L70" s="13">
        <f t="shared" si="4"/>
        <v>15</v>
      </c>
      <c r="M70" s="13">
        <f t="shared" si="4"/>
        <v>0</v>
      </c>
      <c r="N70" s="13">
        <f t="shared" si="4"/>
        <v>12</v>
      </c>
      <c r="O70" s="13">
        <f t="shared" si="4"/>
        <v>8</v>
      </c>
      <c r="P70" s="13">
        <f t="shared" si="4"/>
        <v>8</v>
      </c>
      <c r="Q70" s="13">
        <f t="shared" si="4"/>
        <v>7</v>
      </c>
      <c r="R70" s="13">
        <f t="shared" si="4"/>
        <v>6</v>
      </c>
      <c r="S70" s="13">
        <f t="shared" si="4"/>
        <v>12</v>
      </c>
      <c r="T70" s="13">
        <f t="shared" si="4"/>
        <v>8</v>
      </c>
      <c r="U70" s="13">
        <f t="shared" si="4"/>
        <v>8</v>
      </c>
      <c r="V70" s="13">
        <f t="shared" si="4"/>
        <v>8</v>
      </c>
      <c r="W70" s="13">
        <f t="shared" si="4"/>
        <v>8</v>
      </c>
      <c r="X70" s="13">
        <f t="shared" si="4"/>
        <v>8</v>
      </c>
      <c r="Y70" s="13">
        <f t="shared" si="4"/>
        <v>6</v>
      </c>
      <c r="Z70" s="4"/>
    </row>
    <row r="71" spans="1:26" ht="13.5" thickBot="1" x14ac:dyDescent="0.25">
      <c r="A71" s="1"/>
      <c r="B71" s="7"/>
      <c r="C71" s="7"/>
      <c r="D71" s="7"/>
      <c r="E71" s="7"/>
      <c r="F71" s="7"/>
      <c r="G71" s="28" t="s">
        <v>113</v>
      </c>
      <c r="H71" s="30">
        <f t="shared" ref="H71:Y71" si="5">H67+H70</f>
        <v>24</v>
      </c>
      <c r="I71" s="16">
        <f t="shared" si="5"/>
        <v>23</v>
      </c>
      <c r="J71" s="15">
        <f t="shared" si="5"/>
        <v>16</v>
      </c>
      <c r="K71" s="16">
        <f t="shared" si="5"/>
        <v>25</v>
      </c>
      <c r="L71" s="15">
        <f t="shared" si="5"/>
        <v>27</v>
      </c>
      <c r="M71" s="16">
        <f t="shared" si="5"/>
        <v>12</v>
      </c>
      <c r="N71" s="15">
        <f t="shared" si="5"/>
        <v>24</v>
      </c>
      <c r="O71" s="16">
        <f t="shared" si="5"/>
        <v>24</v>
      </c>
      <c r="P71" s="15">
        <f t="shared" si="5"/>
        <v>20</v>
      </c>
      <c r="Q71" s="16">
        <f t="shared" si="5"/>
        <v>23</v>
      </c>
      <c r="R71" s="15">
        <f t="shared" si="5"/>
        <v>18</v>
      </c>
      <c r="S71" s="16">
        <f t="shared" si="5"/>
        <v>24</v>
      </c>
      <c r="T71" s="15">
        <f t="shared" si="5"/>
        <v>8</v>
      </c>
      <c r="U71" s="16">
        <f t="shared" si="5"/>
        <v>18</v>
      </c>
      <c r="V71" s="15">
        <f t="shared" si="5"/>
        <v>20</v>
      </c>
      <c r="W71" s="16">
        <f t="shared" si="5"/>
        <v>20</v>
      </c>
      <c r="X71" s="15">
        <f t="shared" si="5"/>
        <v>18</v>
      </c>
      <c r="Y71" s="31">
        <f t="shared" si="5"/>
        <v>18</v>
      </c>
      <c r="Z71" s="4"/>
    </row>
    <row r="73" spans="1:26" ht="15.75" customHeight="1" thickBot="1" x14ac:dyDescent="0.25"/>
    <row r="74" spans="1:26" ht="26.25" customHeight="1" thickTop="1" thickBot="1" x14ac:dyDescent="0.25">
      <c r="B74" s="110" t="s">
        <v>201</v>
      </c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2"/>
    </row>
    <row r="75" spans="1:26" ht="15.75" customHeight="1" thickTop="1" thickBot="1" x14ac:dyDescent="0.25">
      <c r="B75" s="32" t="s">
        <v>40</v>
      </c>
      <c r="C75" s="33" t="s">
        <v>41</v>
      </c>
      <c r="D75" s="33" t="s">
        <v>42</v>
      </c>
      <c r="E75" s="33" t="s">
        <v>43</v>
      </c>
      <c r="F75" s="33" t="s">
        <v>44</v>
      </c>
      <c r="G75" s="42" t="s">
        <v>45</v>
      </c>
      <c r="H75" s="34">
        <v>1</v>
      </c>
      <c r="I75" s="35">
        <v>2</v>
      </c>
      <c r="J75" s="36">
        <v>3</v>
      </c>
      <c r="K75" s="35">
        <v>4</v>
      </c>
      <c r="L75" s="36">
        <v>5</v>
      </c>
      <c r="M75" s="35">
        <v>6</v>
      </c>
      <c r="N75" s="36">
        <v>7</v>
      </c>
      <c r="O75" s="35">
        <v>8</v>
      </c>
      <c r="P75" s="36">
        <v>9</v>
      </c>
      <c r="Q75" s="35">
        <v>10</v>
      </c>
      <c r="R75" s="36">
        <v>11</v>
      </c>
      <c r="S75" s="35">
        <v>12</v>
      </c>
      <c r="T75" s="36">
        <v>13</v>
      </c>
      <c r="U75" s="35">
        <v>14</v>
      </c>
      <c r="V75" s="36">
        <v>15</v>
      </c>
      <c r="W75" s="35">
        <v>16</v>
      </c>
      <c r="X75" s="36">
        <v>17</v>
      </c>
      <c r="Y75" s="37">
        <v>18</v>
      </c>
    </row>
    <row r="76" spans="1:26" ht="15.75" customHeight="1" x14ac:dyDescent="0.2">
      <c r="B76" s="113" t="s">
        <v>46</v>
      </c>
      <c r="C76" s="116">
        <v>2022</v>
      </c>
      <c r="D76" s="51">
        <v>2</v>
      </c>
      <c r="E76" s="52" t="s">
        <v>116</v>
      </c>
      <c r="F76" s="53" t="s">
        <v>117</v>
      </c>
      <c r="G76" s="54">
        <v>4</v>
      </c>
      <c r="H76" s="53"/>
      <c r="I76" s="55"/>
      <c r="J76" s="53"/>
      <c r="K76" s="55"/>
      <c r="L76" s="53"/>
      <c r="M76" s="55"/>
      <c r="N76" s="53"/>
      <c r="O76" s="55"/>
      <c r="P76" s="53"/>
      <c r="Q76" s="55"/>
      <c r="R76" s="52">
        <v>2</v>
      </c>
      <c r="S76" s="55"/>
      <c r="T76" s="53"/>
      <c r="U76" s="55"/>
      <c r="V76" s="53"/>
      <c r="W76" s="55"/>
      <c r="X76" s="53"/>
      <c r="Y76" s="56">
        <v>2</v>
      </c>
    </row>
    <row r="77" spans="1:26" ht="15.75" customHeight="1" x14ac:dyDescent="0.2">
      <c r="B77" s="114"/>
      <c r="C77" s="107"/>
      <c r="D77" s="44">
        <v>2</v>
      </c>
      <c r="E77" s="40" t="s">
        <v>118</v>
      </c>
      <c r="F77" s="38" t="s">
        <v>119</v>
      </c>
      <c r="G77" s="45">
        <v>4</v>
      </c>
      <c r="H77" s="38"/>
      <c r="I77" s="39"/>
      <c r="J77" s="38"/>
      <c r="K77" s="39"/>
      <c r="L77" s="38"/>
      <c r="M77" s="39"/>
      <c r="N77" s="38"/>
      <c r="O77" s="39"/>
      <c r="P77" s="38"/>
      <c r="Q77" s="39"/>
      <c r="R77" s="38"/>
      <c r="S77" s="41">
        <v>4</v>
      </c>
      <c r="T77" s="38"/>
      <c r="U77" s="39"/>
      <c r="V77" s="38"/>
      <c r="W77" s="39"/>
      <c r="X77" s="38"/>
      <c r="Y77" s="57"/>
    </row>
    <row r="78" spans="1:26" ht="15.75" customHeight="1" x14ac:dyDescent="0.2">
      <c r="B78" s="114"/>
      <c r="C78" s="107"/>
      <c r="D78" s="44">
        <v>2</v>
      </c>
      <c r="E78" s="40" t="s">
        <v>120</v>
      </c>
      <c r="F78" s="38" t="s">
        <v>121</v>
      </c>
      <c r="G78" s="45">
        <v>4</v>
      </c>
      <c r="H78" s="38"/>
      <c r="I78" s="39"/>
      <c r="J78" s="38"/>
      <c r="K78" s="39"/>
      <c r="L78" s="40">
        <v>4</v>
      </c>
      <c r="M78" s="39"/>
      <c r="N78" s="38"/>
      <c r="O78" s="39"/>
      <c r="P78" s="38"/>
      <c r="Q78" s="39"/>
      <c r="R78" s="38"/>
      <c r="S78" s="39"/>
      <c r="T78" s="38"/>
      <c r="U78" s="39"/>
      <c r="V78" s="38"/>
      <c r="W78" s="39"/>
      <c r="X78" s="38"/>
      <c r="Y78" s="57"/>
    </row>
    <row r="79" spans="1:26" ht="15.75" customHeight="1" x14ac:dyDescent="0.2">
      <c r="B79" s="114"/>
      <c r="C79" s="107"/>
      <c r="D79" s="44">
        <v>4</v>
      </c>
      <c r="E79" s="40" t="s">
        <v>13</v>
      </c>
      <c r="F79" s="38" t="s">
        <v>66</v>
      </c>
      <c r="G79" s="45">
        <v>4</v>
      </c>
      <c r="H79" s="38"/>
      <c r="I79" s="39"/>
      <c r="J79" s="38"/>
      <c r="K79" s="39"/>
      <c r="L79" s="38"/>
      <c r="M79" s="39"/>
      <c r="N79" s="38"/>
      <c r="O79" s="39"/>
      <c r="P79" s="38"/>
      <c r="Q79" s="39"/>
      <c r="R79" s="38"/>
      <c r="S79" s="39"/>
      <c r="T79" s="38"/>
      <c r="U79" s="41">
        <v>4</v>
      </c>
      <c r="V79" s="38"/>
      <c r="W79" s="39"/>
      <c r="X79" s="38"/>
      <c r="Y79" s="57"/>
    </row>
    <row r="80" spans="1:26" ht="15.75" customHeight="1" x14ac:dyDescent="0.2">
      <c r="B80" s="114"/>
      <c r="C80" s="107"/>
      <c r="D80" s="44">
        <v>4</v>
      </c>
      <c r="E80" s="40" t="s">
        <v>122</v>
      </c>
      <c r="F80" s="38" t="s">
        <v>123</v>
      </c>
      <c r="G80" s="45">
        <v>4</v>
      </c>
      <c r="H80" s="38"/>
      <c r="I80" s="39"/>
      <c r="J80" s="38"/>
      <c r="K80" s="39"/>
      <c r="L80" s="38"/>
      <c r="M80" s="39"/>
      <c r="N80" s="38"/>
      <c r="O80" s="39"/>
      <c r="P80" s="38"/>
      <c r="Q80" s="39"/>
      <c r="R80" s="38"/>
      <c r="S80" s="39"/>
      <c r="T80" s="40">
        <v>4</v>
      </c>
      <c r="U80" s="39"/>
      <c r="V80" s="38"/>
      <c r="W80" s="39"/>
      <c r="X80" s="38"/>
      <c r="Y80" s="57"/>
    </row>
    <row r="81" spans="2:25" ht="15.75" customHeight="1" x14ac:dyDescent="0.2">
      <c r="B81" s="114"/>
      <c r="C81" s="107"/>
      <c r="D81" s="44">
        <v>4</v>
      </c>
      <c r="E81" s="40" t="s">
        <v>22</v>
      </c>
      <c r="F81" s="38" t="s">
        <v>124</v>
      </c>
      <c r="G81" s="45">
        <v>4</v>
      </c>
      <c r="H81" s="38"/>
      <c r="I81" s="39"/>
      <c r="J81" s="38"/>
      <c r="K81" s="41">
        <v>4</v>
      </c>
      <c r="L81" s="38"/>
      <c r="M81" s="39"/>
      <c r="N81" s="38"/>
      <c r="O81" s="39"/>
      <c r="P81" s="38"/>
      <c r="Q81" s="39"/>
      <c r="R81" s="38"/>
      <c r="S81" s="39"/>
      <c r="T81" s="38"/>
      <c r="U81" s="39"/>
      <c r="V81" s="38"/>
      <c r="W81" s="39"/>
      <c r="X81" s="38"/>
      <c r="Y81" s="57"/>
    </row>
    <row r="82" spans="2:25" ht="15.75" customHeight="1" x14ac:dyDescent="0.2">
      <c r="B82" s="114"/>
      <c r="C82" s="107"/>
      <c r="D82" s="44">
        <v>4</v>
      </c>
      <c r="E82" s="40" t="s">
        <v>125</v>
      </c>
      <c r="F82" s="38" t="s">
        <v>126</v>
      </c>
      <c r="G82" s="45">
        <v>4</v>
      </c>
      <c r="H82" s="38"/>
      <c r="I82" s="39"/>
      <c r="J82" s="38"/>
      <c r="K82" s="39"/>
      <c r="L82" s="38"/>
      <c r="M82" s="39"/>
      <c r="N82" s="40">
        <v>4</v>
      </c>
      <c r="O82" s="39"/>
      <c r="P82" s="38"/>
      <c r="Q82" s="39"/>
      <c r="R82" s="38"/>
      <c r="S82" s="39"/>
      <c r="T82" s="38"/>
      <c r="U82" s="39"/>
      <c r="V82" s="38"/>
      <c r="W82" s="39"/>
      <c r="X82" s="38"/>
      <c r="Y82" s="57"/>
    </row>
    <row r="83" spans="2:25" ht="15.75" customHeight="1" x14ac:dyDescent="0.2">
      <c r="B83" s="114"/>
      <c r="C83" s="107"/>
      <c r="D83" s="44">
        <v>4</v>
      </c>
      <c r="E83" s="40" t="s">
        <v>127</v>
      </c>
      <c r="F83" s="38" t="s">
        <v>128</v>
      </c>
      <c r="G83" s="45">
        <v>4</v>
      </c>
      <c r="H83" s="38"/>
      <c r="I83" s="39"/>
      <c r="J83" s="38"/>
      <c r="K83" s="39"/>
      <c r="L83" s="38"/>
      <c r="M83" s="39"/>
      <c r="N83" s="38"/>
      <c r="O83" s="39"/>
      <c r="P83" s="38"/>
      <c r="Q83" s="41">
        <v>4</v>
      </c>
      <c r="R83" s="38"/>
      <c r="S83" s="39"/>
      <c r="T83" s="38"/>
      <c r="U83" s="39"/>
      <c r="V83" s="38"/>
      <c r="W83" s="39"/>
      <c r="X83" s="38"/>
      <c r="Y83" s="57"/>
    </row>
    <row r="84" spans="2:25" ht="15.75" customHeight="1" x14ac:dyDescent="0.2">
      <c r="B84" s="114"/>
      <c r="C84" s="107"/>
      <c r="D84" s="44">
        <v>4</v>
      </c>
      <c r="E84" s="40" t="s">
        <v>129</v>
      </c>
      <c r="F84" s="38" t="s">
        <v>130</v>
      </c>
      <c r="G84" s="45">
        <v>4</v>
      </c>
      <c r="H84" s="38"/>
      <c r="I84" s="39"/>
      <c r="J84" s="38"/>
      <c r="K84" s="39"/>
      <c r="L84" s="38"/>
      <c r="M84" s="39"/>
      <c r="N84" s="38"/>
      <c r="O84" s="39"/>
      <c r="P84" s="38"/>
      <c r="Q84" s="39"/>
      <c r="R84" s="38"/>
      <c r="S84" s="41">
        <v>4</v>
      </c>
      <c r="T84" s="38"/>
      <c r="U84" s="39"/>
      <c r="V84" s="38"/>
      <c r="W84" s="39"/>
      <c r="X84" s="38"/>
      <c r="Y84" s="57"/>
    </row>
    <row r="85" spans="2:25" ht="15.75" customHeight="1" x14ac:dyDescent="0.2">
      <c r="B85" s="114"/>
      <c r="C85" s="107"/>
      <c r="D85" s="44">
        <v>6</v>
      </c>
      <c r="E85" s="40" t="s">
        <v>131</v>
      </c>
      <c r="F85" s="38" t="s">
        <v>132</v>
      </c>
      <c r="G85" s="45">
        <v>4</v>
      </c>
      <c r="H85" s="38"/>
      <c r="I85" s="39"/>
      <c r="J85" s="38"/>
      <c r="K85" s="39"/>
      <c r="L85" s="40">
        <v>4</v>
      </c>
      <c r="M85" s="39"/>
      <c r="N85" s="38"/>
      <c r="O85" s="39"/>
      <c r="P85" s="38"/>
      <c r="Q85" s="39"/>
      <c r="R85" s="38"/>
      <c r="S85" s="39"/>
      <c r="T85" s="38"/>
      <c r="U85" s="39"/>
      <c r="V85" s="38"/>
      <c r="W85" s="39"/>
      <c r="X85" s="38"/>
      <c r="Y85" s="57"/>
    </row>
    <row r="86" spans="2:25" ht="15.75" customHeight="1" thickBot="1" x14ac:dyDescent="0.25">
      <c r="B86" s="115"/>
      <c r="C86" s="117"/>
      <c r="D86" s="58">
        <v>6</v>
      </c>
      <c r="E86" s="59" t="s">
        <v>28</v>
      </c>
      <c r="F86" s="60" t="s">
        <v>75</v>
      </c>
      <c r="G86" s="61">
        <v>4</v>
      </c>
      <c r="H86" s="60"/>
      <c r="I86" s="62"/>
      <c r="J86" s="60"/>
      <c r="K86" s="62"/>
      <c r="L86" s="60"/>
      <c r="M86" s="62"/>
      <c r="N86" s="60"/>
      <c r="O86" s="62"/>
      <c r="P86" s="60"/>
      <c r="Q86" s="62"/>
      <c r="R86" s="60"/>
      <c r="S86" s="62"/>
      <c r="T86" s="60"/>
      <c r="U86" s="62"/>
      <c r="V86" s="60"/>
      <c r="W86" s="63">
        <v>4</v>
      </c>
      <c r="X86" s="60"/>
      <c r="Y86" s="64"/>
    </row>
    <row r="87" spans="2:25" ht="15.75" customHeight="1" x14ac:dyDescent="0.2">
      <c r="B87" s="118" t="s">
        <v>64</v>
      </c>
      <c r="C87" s="118">
        <v>2022</v>
      </c>
      <c r="D87" s="46">
        <v>2</v>
      </c>
      <c r="E87" s="47" t="s">
        <v>8</v>
      </c>
      <c r="F87" s="48" t="s">
        <v>51</v>
      </c>
      <c r="G87" s="49">
        <v>4</v>
      </c>
      <c r="H87" s="48"/>
      <c r="I87" s="50"/>
      <c r="J87" s="48"/>
      <c r="K87" s="50"/>
      <c r="L87" s="48"/>
      <c r="M87" s="50"/>
      <c r="N87" s="48"/>
      <c r="O87" s="50"/>
      <c r="P87" s="47">
        <v>4</v>
      </c>
      <c r="Q87" s="50"/>
      <c r="R87" s="48"/>
      <c r="S87" s="50"/>
      <c r="T87" s="48"/>
      <c r="U87" s="50"/>
      <c r="V87" s="48"/>
      <c r="W87" s="50"/>
      <c r="X87" s="48"/>
      <c r="Y87" s="50"/>
    </row>
    <row r="88" spans="2:25" ht="15.75" customHeight="1" x14ac:dyDescent="0.2">
      <c r="B88" s="107"/>
      <c r="C88" s="107"/>
      <c r="D88" s="44">
        <v>2</v>
      </c>
      <c r="E88" s="40" t="s">
        <v>6</v>
      </c>
      <c r="F88" s="38" t="s">
        <v>52</v>
      </c>
      <c r="G88" s="45">
        <v>4</v>
      </c>
      <c r="H88" s="40">
        <v>4</v>
      </c>
      <c r="I88" s="39"/>
      <c r="J88" s="38"/>
      <c r="K88" s="39"/>
      <c r="L88" s="38"/>
      <c r="M88" s="39"/>
      <c r="N88" s="38"/>
      <c r="O88" s="39"/>
      <c r="P88" s="38"/>
      <c r="Q88" s="39"/>
      <c r="R88" s="38"/>
      <c r="S88" s="39"/>
      <c r="T88" s="38"/>
      <c r="U88" s="39"/>
      <c r="V88" s="38"/>
      <c r="W88" s="39"/>
      <c r="X88" s="38"/>
      <c r="Y88" s="39"/>
    </row>
    <row r="89" spans="2:25" ht="15.75" customHeight="1" x14ac:dyDescent="0.2">
      <c r="B89" s="107"/>
      <c r="C89" s="107"/>
      <c r="D89" s="44">
        <v>2</v>
      </c>
      <c r="E89" s="40" t="s">
        <v>133</v>
      </c>
      <c r="F89" s="38" t="s">
        <v>134</v>
      </c>
      <c r="G89" s="45">
        <v>4</v>
      </c>
      <c r="H89" s="38"/>
      <c r="I89" s="39"/>
      <c r="J89" s="38"/>
      <c r="K89" s="39"/>
      <c r="L89" s="38"/>
      <c r="M89" s="39"/>
      <c r="N89" s="38"/>
      <c r="O89" s="39"/>
      <c r="P89" s="38"/>
      <c r="Q89" s="39"/>
      <c r="R89" s="38"/>
      <c r="S89" s="39"/>
      <c r="T89" s="40">
        <v>4</v>
      </c>
      <c r="U89" s="39"/>
      <c r="V89" s="38"/>
      <c r="W89" s="39"/>
      <c r="X89" s="38"/>
      <c r="Y89" s="39"/>
    </row>
    <row r="90" spans="2:25" ht="15.75" customHeight="1" x14ac:dyDescent="0.2">
      <c r="B90" s="107"/>
      <c r="C90" s="107"/>
      <c r="D90" s="44">
        <v>2</v>
      </c>
      <c r="E90" s="40" t="s">
        <v>0</v>
      </c>
      <c r="F90" s="38" t="s">
        <v>49</v>
      </c>
      <c r="G90" s="45">
        <v>4</v>
      </c>
      <c r="H90" s="38"/>
      <c r="I90" s="39"/>
      <c r="J90" s="38"/>
      <c r="K90" s="39"/>
      <c r="L90" s="40">
        <v>4</v>
      </c>
      <c r="M90" s="39"/>
      <c r="N90" s="38"/>
      <c r="O90" s="39"/>
      <c r="P90" s="38"/>
      <c r="Q90" s="39"/>
      <c r="R90" s="38"/>
      <c r="S90" s="39"/>
      <c r="T90" s="38"/>
      <c r="U90" s="39"/>
      <c r="V90" s="38"/>
      <c r="W90" s="39"/>
      <c r="X90" s="38"/>
      <c r="Y90" s="39"/>
    </row>
    <row r="91" spans="2:25" ht="15.75" customHeight="1" x14ac:dyDescent="0.2">
      <c r="B91" s="107"/>
      <c r="C91" s="107"/>
      <c r="D91" s="44">
        <v>4</v>
      </c>
      <c r="E91" s="40" t="s">
        <v>18</v>
      </c>
      <c r="F91" s="38" t="s">
        <v>59</v>
      </c>
      <c r="G91" s="45">
        <v>4</v>
      </c>
      <c r="H91" s="38"/>
      <c r="I91" s="39"/>
      <c r="J91" s="38"/>
      <c r="K91" s="39"/>
      <c r="L91" s="38"/>
      <c r="M91" s="39"/>
      <c r="N91" s="38"/>
      <c r="O91" s="39"/>
      <c r="P91" s="38"/>
      <c r="Q91" s="39"/>
      <c r="R91" s="40">
        <v>4</v>
      </c>
      <c r="S91" s="39"/>
      <c r="T91" s="38"/>
      <c r="U91" s="39"/>
      <c r="V91" s="38"/>
      <c r="W91" s="39"/>
      <c r="X91" s="38"/>
      <c r="Y91" s="39"/>
    </row>
    <row r="92" spans="2:25" ht="15.75" customHeight="1" x14ac:dyDescent="0.2">
      <c r="B92" s="107"/>
      <c r="C92" s="107"/>
      <c r="D92" s="44">
        <v>4</v>
      </c>
      <c r="E92" s="40" t="s">
        <v>7</v>
      </c>
      <c r="F92" s="38" t="s">
        <v>56</v>
      </c>
      <c r="G92" s="45">
        <v>4</v>
      </c>
      <c r="H92" s="38"/>
      <c r="I92" s="39"/>
      <c r="J92" s="38"/>
      <c r="K92" s="39"/>
      <c r="L92" s="38"/>
      <c r="M92" s="39"/>
      <c r="N92" s="38"/>
      <c r="O92" s="39"/>
      <c r="P92" s="40">
        <v>4</v>
      </c>
      <c r="Q92" s="39"/>
      <c r="R92" s="38"/>
      <c r="S92" s="39"/>
      <c r="T92" s="38"/>
      <c r="U92" s="39"/>
      <c r="V92" s="38"/>
      <c r="W92" s="39"/>
      <c r="X92" s="38"/>
      <c r="Y92" s="39"/>
    </row>
    <row r="93" spans="2:25" ht="15.75" customHeight="1" x14ac:dyDescent="0.2">
      <c r="B93" s="107"/>
      <c r="C93" s="107"/>
      <c r="D93" s="44">
        <v>4</v>
      </c>
      <c r="E93" s="40" t="s">
        <v>135</v>
      </c>
      <c r="F93" s="38" t="s">
        <v>136</v>
      </c>
      <c r="G93" s="45">
        <v>4</v>
      </c>
      <c r="H93" s="38"/>
      <c r="I93" s="39"/>
      <c r="J93" s="38"/>
      <c r="K93" s="39"/>
      <c r="L93" s="38"/>
      <c r="M93" s="39"/>
      <c r="N93" s="38"/>
      <c r="O93" s="39"/>
      <c r="P93" s="38"/>
      <c r="Q93" s="39"/>
      <c r="R93" s="38"/>
      <c r="S93" s="39"/>
      <c r="T93" s="38"/>
      <c r="U93" s="39"/>
      <c r="V93" s="40">
        <v>4</v>
      </c>
      <c r="W93" s="39"/>
      <c r="X93" s="38"/>
      <c r="Y93" s="39"/>
    </row>
    <row r="94" spans="2:25" ht="15.75" customHeight="1" x14ac:dyDescent="0.2">
      <c r="B94" s="107"/>
      <c r="C94" s="107"/>
      <c r="D94" s="44">
        <v>4</v>
      </c>
      <c r="E94" s="40" t="s">
        <v>137</v>
      </c>
      <c r="F94" s="38" t="s">
        <v>54</v>
      </c>
      <c r="G94" s="45">
        <v>4</v>
      </c>
      <c r="H94" s="38"/>
      <c r="I94" s="39"/>
      <c r="J94" s="38"/>
      <c r="K94" s="39"/>
      <c r="L94" s="38"/>
      <c r="M94" s="39"/>
      <c r="N94" s="38"/>
      <c r="O94" s="39"/>
      <c r="P94" s="38"/>
      <c r="Q94" s="39"/>
      <c r="R94" s="38"/>
      <c r="S94" s="41">
        <v>4</v>
      </c>
      <c r="T94" s="38"/>
      <c r="U94" s="39"/>
      <c r="V94" s="38"/>
      <c r="W94" s="39"/>
      <c r="X94" s="38"/>
      <c r="Y94" s="39"/>
    </row>
    <row r="95" spans="2:25" ht="15.75" customHeight="1" x14ac:dyDescent="0.2">
      <c r="B95" s="107"/>
      <c r="C95" s="107"/>
      <c r="D95" s="44">
        <v>6</v>
      </c>
      <c r="E95" s="40" t="s">
        <v>138</v>
      </c>
      <c r="F95" s="38" t="s">
        <v>139</v>
      </c>
      <c r="G95" s="45">
        <v>4</v>
      </c>
      <c r="H95" s="40">
        <v>4</v>
      </c>
      <c r="I95" s="39"/>
      <c r="J95" s="38"/>
      <c r="K95" s="39"/>
      <c r="L95" s="38"/>
      <c r="M95" s="39"/>
      <c r="N95" s="38"/>
      <c r="O95" s="39"/>
      <c r="P95" s="38"/>
      <c r="Q95" s="39"/>
      <c r="R95" s="38"/>
      <c r="S95" s="39"/>
      <c r="T95" s="38"/>
      <c r="U95" s="39"/>
      <c r="V95" s="38"/>
      <c r="W95" s="39"/>
      <c r="X95" s="38"/>
      <c r="Y95" s="39"/>
    </row>
    <row r="96" spans="2:25" ht="15.75" customHeight="1" x14ac:dyDescent="0.2">
      <c r="B96" s="107"/>
      <c r="C96" s="107"/>
      <c r="D96" s="44">
        <v>6</v>
      </c>
      <c r="E96" s="40" t="s">
        <v>20</v>
      </c>
      <c r="F96" s="38" t="s">
        <v>60</v>
      </c>
      <c r="G96" s="45">
        <v>4</v>
      </c>
      <c r="H96" s="38"/>
      <c r="I96" s="39"/>
      <c r="J96" s="38"/>
      <c r="K96" s="39"/>
      <c r="L96" s="38"/>
      <c r="M96" s="39"/>
      <c r="N96" s="40">
        <v>4</v>
      </c>
      <c r="O96" s="39"/>
      <c r="P96" s="38"/>
      <c r="Q96" s="39"/>
      <c r="R96" s="38"/>
      <c r="S96" s="39"/>
      <c r="T96" s="38"/>
      <c r="U96" s="39"/>
      <c r="V96" s="38"/>
      <c r="W96" s="39"/>
      <c r="X96" s="38"/>
      <c r="Y96" s="39"/>
    </row>
    <row r="97" spans="2:25" ht="15.75" customHeight="1" x14ac:dyDescent="0.2">
      <c r="B97" s="107"/>
      <c r="C97" s="107"/>
      <c r="D97" s="44">
        <v>8</v>
      </c>
      <c r="E97" s="40" t="s">
        <v>27</v>
      </c>
      <c r="F97" s="38" t="s">
        <v>140</v>
      </c>
      <c r="G97" s="45">
        <v>4</v>
      </c>
      <c r="H97" s="38"/>
      <c r="I97" s="39"/>
      <c r="J97" s="38"/>
      <c r="K97" s="39"/>
      <c r="L97" s="38"/>
      <c r="M97" s="39"/>
      <c r="N97" s="38"/>
      <c r="O97" s="39"/>
      <c r="P97" s="38"/>
      <c r="Q97" s="39"/>
      <c r="R97" s="38"/>
      <c r="S97" s="39"/>
      <c r="T97" s="38"/>
      <c r="U97" s="39"/>
      <c r="V97" s="38"/>
      <c r="W97" s="39"/>
      <c r="X97" s="40">
        <v>4</v>
      </c>
      <c r="Y97" s="39"/>
    </row>
    <row r="98" spans="2:25" ht="15.75" customHeight="1" x14ac:dyDescent="0.2">
      <c r="B98" s="107"/>
      <c r="C98" s="107"/>
      <c r="D98" s="44">
        <v>8</v>
      </c>
      <c r="E98" s="40" t="s">
        <v>26</v>
      </c>
      <c r="F98" s="38" t="s">
        <v>62</v>
      </c>
      <c r="G98" s="45">
        <v>4</v>
      </c>
      <c r="H98" s="38"/>
      <c r="I98" s="41">
        <v>4</v>
      </c>
      <c r="J98" s="38"/>
      <c r="K98" s="39"/>
      <c r="L98" s="38"/>
      <c r="M98" s="39"/>
      <c r="N98" s="38"/>
      <c r="O98" s="39"/>
      <c r="P98" s="38"/>
      <c r="Q98" s="39"/>
      <c r="R98" s="38"/>
      <c r="S98" s="39"/>
      <c r="T98" s="38"/>
      <c r="U98" s="39"/>
      <c r="V98" s="38"/>
      <c r="W98" s="39"/>
      <c r="X98" s="38"/>
      <c r="Y98" s="39"/>
    </row>
    <row r="99" spans="2:25" ht="15.75" customHeight="1" x14ac:dyDescent="0.2">
      <c r="B99" s="107"/>
      <c r="C99" s="107"/>
      <c r="D99" s="44">
        <v>8</v>
      </c>
      <c r="E99" s="40" t="s">
        <v>25</v>
      </c>
      <c r="F99" s="38" t="s">
        <v>63</v>
      </c>
      <c r="G99" s="45">
        <v>4</v>
      </c>
      <c r="H99" s="38"/>
      <c r="I99" s="41">
        <v>4</v>
      </c>
      <c r="J99" s="38"/>
      <c r="K99" s="39"/>
      <c r="L99" s="38"/>
      <c r="M99" s="39"/>
      <c r="N99" s="38"/>
      <c r="O99" s="39"/>
      <c r="P99" s="38"/>
      <c r="Q99" s="39"/>
      <c r="R99" s="38"/>
      <c r="S99" s="39"/>
      <c r="T99" s="38"/>
      <c r="U99" s="39"/>
      <c r="V99" s="38"/>
      <c r="W99" s="39"/>
      <c r="X99" s="38"/>
      <c r="Y99" s="39"/>
    </row>
    <row r="100" spans="2:25" ht="15.75" customHeight="1" x14ac:dyDescent="0.2">
      <c r="B100" s="65"/>
      <c r="C100" s="66"/>
      <c r="D100" s="66"/>
      <c r="E100" s="66"/>
      <c r="F100" s="66"/>
      <c r="G100" s="67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</row>
    <row r="101" spans="2:25" ht="15.75" customHeight="1" x14ac:dyDescent="0.2">
      <c r="B101" s="107" t="s">
        <v>38</v>
      </c>
      <c r="C101" s="105" t="s">
        <v>79</v>
      </c>
      <c r="D101" s="40" t="s">
        <v>79</v>
      </c>
      <c r="E101" s="40" t="s">
        <v>38</v>
      </c>
      <c r="F101" s="38" t="s">
        <v>141</v>
      </c>
      <c r="G101" s="45">
        <v>4</v>
      </c>
      <c r="H101" s="38"/>
      <c r="I101" s="39"/>
      <c r="J101" s="38"/>
      <c r="K101" s="39"/>
      <c r="L101" s="38"/>
      <c r="M101" s="39"/>
      <c r="N101" s="38"/>
      <c r="O101" s="41">
        <v>4</v>
      </c>
      <c r="P101" s="38"/>
      <c r="Q101" s="39"/>
      <c r="R101" s="38"/>
      <c r="S101" s="39"/>
      <c r="T101" s="38"/>
      <c r="U101" s="39"/>
      <c r="V101" s="38"/>
      <c r="W101" s="39"/>
      <c r="X101" s="38"/>
      <c r="Y101" s="39"/>
    </row>
    <row r="102" spans="2:25" ht="15.75" customHeight="1" x14ac:dyDescent="0.2">
      <c r="B102" s="107"/>
      <c r="C102" s="105"/>
      <c r="D102" s="40" t="s">
        <v>79</v>
      </c>
      <c r="E102" s="40" t="s">
        <v>38</v>
      </c>
      <c r="F102" s="38" t="s">
        <v>142</v>
      </c>
      <c r="G102" s="45">
        <v>4</v>
      </c>
      <c r="H102" s="38"/>
      <c r="I102" s="39"/>
      <c r="J102" s="38"/>
      <c r="K102" s="39"/>
      <c r="L102" s="38"/>
      <c r="M102" s="39"/>
      <c r="N102" s="38"/>
      <c r="O102" s="41">
        <v>4</v>
      </c>
      <c r="P102" s="38"/>
      <c r="Q102" s="39"/>
      <c r="R102" s="38"/>
      <c r="S102" s="39"/>
      <c r="T102" s="38"/>
      <c r="U102" s="39"/>
      <c r="V102" s="38"/>
      <c r="W102" s="39"/>
      <c r="X102" s="38"/>
      <c r="Y102" s="39"/>
    </row>
    <row r="103" spans="2:25" ht="15.75" customHeight="1" x14ac:dyDescent="0.2">
      <c r="B103" s="107"/>
      <c r="C103" s="105"/>
      <c r="D103" s="40" t="s">
        <v>79</v>
      </c>
      <c r="E103" s="40" t="s">
        <v>38</v>
      </c>
      <c r="F103" s="38" t="s">
        <v>143</v>
      </c>
      <c r="G103" s="45">
        <v>4</v>
      </c>
      <c r="H103" s="38"/>
      <c r="I103" s="39"/>
      <c r="J103" s="40">
        <v>4</v>
      </c>
      <c r="K103" s="39"/>
      <c r="L103" s="38"/>
      <c r="M103" s="39"/>
      <c r="N103" s="38"/>
      <c r="O103" s="39"/>
      <c r="P103" s="38"/>
      <c r="Q103" s="39"/>
      <c r="R103" s="38"/>
      <c r="S103" s="39"/>
      <c r="T103" s="38"/>
      <c r="U103" s="39"/>
      <c r="V103" s="38"/>
      <c r="W103" s="39"/>
      <c r="X103" s="38"/>
      <c r="Y103" s="39"/>
    </row>
    <row r="104" spans="2:25" ht="15.75" customHeight="1" x14ac:dyDescent="0.2">
      <c r="B104" s="65"/>
      <c r="C104" s="66"/>
      <c r="D104" s="66"/>
      <c r="E104" s="66"/>
      <c r="F104" s="66"/>
      <c r="G104" s="67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</row>
    <row r="105" spans="2:25" ht="15.75" customHeight="1" x14ac:dyDescent="0.2">
      <c r="B105" s="107" t="s">
        <v>85</v>
      </c>
      <c r="C105" s="105" t="s">
        <v>79</v>
      </c>
      <c r="D105" s="40" t="s">
        <v>79</v>
      </c>
      <c r="E105" s="40" t="s">
        <v>144</v>
      </c>
      <c r="F105" s="38" t="s">
        <v>145</v>
      </c>
      <c r="G105" s="45">
        <v>4</v>
      </c>
      <c r="H105" s="38"/>
      <c r="I105" s="39"/>
      <c r="J105" s="38"/>
      <c r="K105" s="39"/>
      <c r="L105" s="38"/>
      <c r="M105" s="39"/>
      <c r="N105" s="38"/>
      <c r="O105" s="39"/>
      <c r="P105" s="38"/>
      <c r="Q105" s="39"/>
      <c r="R105" s="38"/>
      <c r="S105" s="39"/>
      <c r="T105" s="38"/>
      <c r="U105" s="39"/>
      <c r="V105" s="40">
        <v>4</v>
      </c>
      <c r="W105" s="39"/>
      <c r="X105" s="38"/>
      <c r="Y105" s="39"/>
    </row>
    <row r="106" spans="2:25" ht="15.75" customHeight="1" x14ac:dyDescent="0.2">
      <c r="B106" s="107"/>
      <c r="C106" s="105"/>
      <c r="D106" s="40" t="s">
        <v>79</v>
      </c>
      <c r="E106" s="40" t="s">
        <v>35</v>
      </c>
      <c r="F106" s="38" t="s">
        <v>146</v>
      </c>
      <c r="G106" s="45">
        <v>4</v>
      </c>
      <c r="H106" s="38"/>
      <c r="I106" s="39"/>
      <c r="J106" s="38"/>
      <c r="K106" s="41">
        <v>4</v>
      </c>
      <c r="L106" s="38"/>
      <c r="M106" s="39"/>
      <c r="N106" s="38"/>
      <c r="O106" s="39"/>
      <c r="P106" s="38"/>
      <c r="Q106" s="39"/>
      <c r="R106" s="38"/>
      <c r="S106" s="39"/>
      <c r="T106" s="38"/>
      <c r="U106" s="39"/>
      <c r="V106" s="38"/>
      <c r="W106" s="39"/>
      <c r="X106" s="38"/>
      <c r="Y106" s="39"/>
    </row>
    <row r="107" spans="2:25" ht="15.75" customHeight="1" x14ac:dyDescent="0.2">
      <c r="B107" s="107"/>
      <c r="C107" s="105"/>
      <c r="D107" s="40" t="s">
        <v>79</v>
      </c>
      <c r="E107" s="40" t="s">
        <v>33</v>
      </c>
      <c r="F107" s="38" t="s">
        <v>89</v>
      </c>
      <c r="G107" s="45">
        <v>4</v>
      </c>
      <c r="H107" s="38"/>
      <c r="I107" s="39"/>
      <c r="J107" s="38"/>
      <c r="K107" s="39"/>
      <c r="L107" s="38"/>
      <c r="M107" s="39"/>
      <c r="N107" s="40">
        <v>4</v>
      </c>
      <c r="O107" s="39"/>
      <c r="P107" s="38"/>
      <c r="Q107" s="39"/>
      <c r="R107" s="38"/>
      <c r="S107" s="39"/>
      <c r="T107" s="38"/>
      <c r="U107" s="39"/>
      <c r="V107" s="38"/>
      <c r="W107" s="39"/>
      <c r="X107" s="38"/>
      <c r="Y107" s="39"/>
    </row>
    <row r="108" spans="2:25" ht="15.75" customHeight="1" x14ac:dyDescent="0.2">
      <c r="B108" s="107"/>
      <c r="C108" s="105"/>
      <c r="D108" s="40" t="s">
        <v>79</v>
      </c>
      <c r="E108" s="40" t="s">
        <v>147</v>
      </c>
      <c r="F108" s="38" t="s">
        <v>148</v>
      </c>
      <c r="G108" s="45">
        <v>4</v>
      </c>
      <c r="H108" s="38"/>
      <c r="I108" s="39"/>
      <c r="J108" s="38"/>
      <c r="K108" s="39"/>
      <c r="L108" s="38"/>
      <c r="M108" s="39"/>
      <c r="N108" s="38"/>
      <c r="O108" s="39"/>
      <c r="P108" s="38"/>
      <c r="Q108" s="39"/>
      <c r="R108" s="38"/>
      <c r="S108" s="39"/>
      <c r="T108" s="38"/>
      <c r="U108" s="39"/>
      <c r="V108" s="38"/>
      <c r="W108" s="39"/>
      <c r="X108" s="40">
        <v>4</v>
      </c>
      <c r="Y108" s="39"/>
    </row>
    <row r="109" spans="2:25" ht="15.75" customHeight="1" x14ac:dyDescent="0.2">
      <c r="B109" s="107"/>
      <c r="C109" s="105"/>
      <c r="D109" s="40" t="s">
        <v>79</v>
      </c>
      <c r="E109" s="40" t="s">
        <v>21</v>
      </c>
      <c r="F109" s="38" t="s">
        <v>149</v>
      </c>
      <c r="G109" s="45">
        <v>4</v>
      </c>
      <c r="H109" s="38"/>
      <c r="I109" s="39"/>
      <c r="J109" s="38"/>
      <c r="K109" s="39"/>
      <c r="L109" s="38"/>
      <c r="M109" s="39"/>
      <c r="N109" s="38"/>
      <c r="O109" s="39"/>
      <c r="P109" s="38"/>
      <c r="Q109" s="39"/>
      <c r="R109" s="38"/>
      <c r="S109" s="39"/>
      <c r="T109" s="38"/>
      <c r="U109" s="39"/>
      <c r="V109" s="38"/>
      <c r="W109" s="39"/>
      <c r="X109" s="38"/>
      <c r="Y109" s="41">
        <v>4</v>
      </c>
    </row>
    <row r="110" spans="2:25" ht="15.75" customHeight="1" x14ac:dyDescent="0.2">
      <c r="B110" s="107"/>
      <c r="C110" s="105"/>
      <c r="D110" s="40" t="s">
        <v>79</v>
      </c>
      <c r="E110" s="40" t="s">
        <v>150</v>
      </c>
      <c r="F110" s="38" t="s">
        <v>151</v>
      </c>
      <c r="G110" s="45">
        <v>3</v>
      </c>
      <c r="H110" s="38"/>
      <c r="I110" s="39"/>
      <c r="J110" s="38"/>
      <c r="K110" s="39"/>
      <c r="L110" s="38"/>
      <c r="M110" s="39"/>
      <c r="N110" s="38"/>
      <c r="O110" s="39"/>
      <c r="P110" s="38"/>
      <c r="Q110" s="41">
        <v>3</v>
      </c>
      <c r="R110" s="38"/>
      <c r="S110" s="39"/>
      <c r="T110" s="38"/>
      <c r="U110" s="39"/>
      <c r="V110" s="38"/>
      <c r="W110" s="39"/>
      <c r="X110" s="38"/>
      <c r="Y110" s="39"/>
    </row>
    <row r="111" spans="2:25" ht="15.75" customHeight="1" x14ac:dyDescent="0.2">
      <c r="B111" s="107"/>
      <c r="C111" s="105"/>
      <c r="D111" s="40" t="s">
        <v>79</v>
      </c>
      <c r="E111" s="40" t="s">
        <v>152</v>
      </c>
      <c r="F111" s="38" t="s">
        <v>153</v>
      </c>
      <c r="G111" s="45">
        <v>4</v>
      </c>
      <c r="H111" s="38"/>
      <c r="I111" s="39"/>
      <c r="J111" s="38"/>
      <c r="K111" s="39"/>
      <c r="L111" s="38"/>
      <c r="M111" s="39"/>
      <c r="N111" s="38"/>
      <c r="O111" s="39"/>
      <c r="P111" s="38"/>
      <c r="Q111" s="39"/>
      <c r="R111" s="38"/>
      <c r="S111" s="39"/>
      <c r="T111" s="38"/>
      <c r="U111" s="39"/>
      <c r="V111" s="38"/>
      <c r="W111" s="41">
        <v>4</v>
      </c>
      <c r="X111" s="38"/>
      <c r="Y111" s="39"/>
    </row>
    <row r="112" spans="2:25" ht="15.75" customHeight="1" x14ac:dyDescent="0.2">
      <c r="B112" s="107"/>
      <c r="C112" s="105"/>
      <c r="D112" s="40" t="s">
        <v>79</v>
      </c>
      <c r="E112" s="40" t="s">
        <v>154</v>
      </c>
      <c r="F112" s="38" t="s">
        <v>155</v>
      </c>
      <c r="G112" s="45">
        <v>4</v>
      </c>
      <c r="H112" s="40">
        <v>4</v>
      </c>
      <c r="I112" s="39"/>
      <c r="J112" s="38"/>
      <c r="K112" s="39"/>
      <c r="L112" s="38"/>
      <c r="M112" s="39"/>
      <c r="N112" s="38"/>
      <c r="O112" s="39"/>
      <c r="P112" s="38"/>
      <c r="Q112" s="39"/>
      <c r="R112" s="38"/>
      <c r="S112" s="39"/>
      <c r="T112" s="38"/>
      <c r="U112" s="39"/>
      <c r="V112" s="38"/>
      <c r="W112" s="39"/>
      <c r="X112" s="38"/>
      <c r="Y112" s="39"/>
    </row>
    <row r="113" spans="2:25" ht="15.75" customHeight="1" x14ac:dyDescent="0.2">
      <c r="B113" s="107"/>
      <c r="C113" s="105"/>
      <c r="D113" s="40" t="s">
        <v>79</v>
      </c>
      <c r="E113" s="40" t="s">
        <v>156</v>
      </c>
      <c r="F113" s="38" t="s">
        <v>157</v>
      </c>
      <c r="G113" s="45">
        <v>4</v>
      </c>
      <c r="H113" s="38"/>
      <c r="I113" s="39"/>
      <c r="J113" s="38"/>
      <c r="K113" s="39"/>
      <c r="L113" s="38"/>
      <c r="M113" s="39"/>
      <c r="N113" s="38"/>
      <c r="O113" s="39"/>
      <c r="P113" s="38"/>
      <c r="Q113" s="39"/>
      <c r="R113" s="38"/>
      <c r="S113" s="39"/>
      <c r="T113" s="38"/>
      <c r="U113" s="41">
        <v>4</v>
      </c>
      <c r="V113" s="38"/>
      <c r="W113" s="39"/>
      <c r="X113" s="38"/>
      <c r="Y113" s="39"/>
    </row>
    <row r="114" spans="2:25" ht="15.75" customHeight="1" x14ac:dyDescent="0.2">
      <c r="B114" s="65"/>
      <c r="C114" s="66"/>
      <c r="D114" s="66"/>
      <c r="E114" s="66"/>
      <c r="F114" s="66"/>
      <c r="G114" s="67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</row>
    <row r="115" spans="2:25" ht="15.75" customHeight="1" x14ac:dyDescent="0.2">
      <c r="B115" s="107" t="s">
        <v>101</v>
      </c>
      <c r="C115" s="105" t="s">
        <v>79</v>
      </c>
      <c r="D115" s="40" t="s">
        <v>79</v>
      </c>
      <c r="E115" s="40" t="s">
        <v>106</v>
      </c>
      <c r="F115" s="38" t="s">
        <v>158</v>
      </c>
      <c r="G115" s="45">
        <v>4</v>
      </c>
      <c r="H115" s="38"/>
      <c r="I115" s="39"/>
      <c r="J115" s="38"/>
      <c r="K115" s="39"/>
      <c r="L115" s="38"/>
      <c r="M115" s="39"/>
      <c r="N115" s="38"/>
      <c r="O115" s="39"/>
      <c r="P115" s="38"/>
      <c r="Q115" s="39"/>
      <c r="R115" s="40">
        <v>0</v>
      </c>
      <c r="S115" s="39"/>
      <c r="T115" s="38"/>
      <c r="U115" s="39"/>
      <c r="V115" s="38"/>
      <c r="W115" s="39"/>
      <c r="X115" s="38"/>
      <c r="Y115" s="39"/>
    </row>
    <row r="116" spans="2:25" ht="15.75" customHeight="1" x14ac:dyDescent="0.2">
      <c r="B116" s="107"/>
      <c r="C116" s="105"/>
      <c r="D116" s="40" t="s">
        <v>79</v>
      </c>
      <c r="E116" s="40" t="s">
        <v>104</v>
      </c>
      <c r="F116" s="38" t="s">
        <v>159</v>
      </c>
      <c r="G116" s="45">
        <v>4</v>
      </c>
      <c r="H116" s="38"/>
      <c r="I116" s="39"/>
      <c r="J116" s="38"/>
      <c r="K116" s="39"/>
      <c r="L116" s="38"/>
      <c r="M116" s="39"/>
      <c r="N116" s="38"/>
      <c r="O116" s="39"/>
      <c r="P116" s="38"/>
      <c r="Q116" s="39"/>
      <c r="R116" s="38"/>
      <c r="S116" s="39"/>
      <c r="T116" s="38"/>
      <c r="U116" s="39"/>
      <c r="V116" s="38"/>
      <c r="W116" s="41">
        <v>0</v>
      </c>
      <c r="X116" s="38"/>
      <c r="Y116" s="39"/>
    </row>
    <row r="117" spans="2:25" ht="15.75" customHeight="1" x14ac:dyDescent="0.2">
      <c r="B117" s="107"/>
      <c r="C117" s="105"/>
      <c r="D117" s="40" t="s">
        <v>79</v>
      </c>
      <c r="E117" s="40" t="s">
        <v>160</v>
      </c>
      <c r="F117" s="38" t="s">
        <v>161</v>
      </c>
      <c r="G117" s="45">
        <v>4</v>
      </c>
      <c r="H117" s="38"/>
      <c r="I117" s="39"/>
      <c r="J117" s="40">
        <v>0</v>
      </c>
      <c r="K117" s="39"/>
      <c r="L117" s="38"/>
      <c r="M117" s="39"/>
      <c r="N117" s="38"/>
      <c r="O117" s="39"/>
      <c r="P117" s="38"/>
      <c r="Q117" s="39"/>
      <c r="R117" s="38"/>
      <c r="S117" s="39"/>
      <c r="T117" s="38"/>
      <c r="U117" s="39"/>
      <c r="V117" s="38"/>
      <c r="W117" s="39"/>
      <c r="X117" s="38"/>
      <c r="Y117" s="39"/>
    </row>
    <row r="118" spans="2:25" ht="15.75" customHeight="1" x14ac:dyDescent="0.2">
      <c r="B118" s="108"/>
      <c r="C118" s="109"/>
      <c r="D118" s="68" t="s">
        <v>79</v>
      </c>
      <c r="E118" s="68" t="s">
        <v>162</v>
      </c>
      <c r="F118" s="69" t="s">
        <v>163</v>
      </c>
      <c r="G118" s="70">
        <v>2</v>
      </c>
      <c r="H118" s="69"/>
      <c r="I118" s="71"/>
      <c r="J118" s="69"/>
      <c r="K118" s="72">
        <v>2</v>
      </c>
      <c r="L118" s="69"/>
      <c r="M118" s="71"/>
      <c r="N118" s="69"/>
      <c r="O118" s="71"/>
      <c r="P118" s="69"/>
      <c r="Q118" s="71"/>
      <c r="R118" s="69"/>
      <c r="S118" s="71"/>
      <c r="T118" s="69"/>
      <c r="U118" s="71"/>
      <c r="V118" s="69"/>
      <c r="W118" s="71"/>
      <c r="X118" s="69"/>
      <c r="Y118" s="71"/>
    </row>
    <row r="119" spans="2:25" ht="15.75" customHeight="1" x14ac:dyDescent="0.2">
      <c r="B119" s="73"/>
      <c r="C119" s="73"/>
      <c r="D119" s="73"/>
      <c r="E119" s="73"/>
      <c r="F119" s="73"/>
      <c r="G119" s="74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</row>
    <row r="120" spans="2:25" ht="15.75" customHeight="1" x14ac:dyDescent="0.2">
      <c r="B120" s="73"/>
      <c r="C120" s="73"/>
      <c r="D120" s="73"/>
      <c r="E120" s="73"/>
      <c r="F120" s="75" t="s">
        <v>164</v>
      </c>
      <c r="G120" s="76">
        <v>167</v>
      </c>
      <c r="H120" s="40">
        <v>12</v>
      </c>
      <c r="I120" s="41">
        <v>11</v>
      </c>
      <c r="J120" s="40">
        <v>4</v>
      </c>
      <c r="K120" s="41">
        <v>10</v>
      </c>
      <c r="L120" s="40">
        <v>15</v>
      </c>
      <c r="M120" s="41">
        <v>0</v>
      </c>
      <c r="N120" s="40">
        <v>12</v>
      </c>
      <c r="O120" s="41">
        <v>8</v>
      </c>
      <c r="P120" s="40">
        <v>8</v>
      </c>
      <c r="Q120" s="41">
        <v>7</v>
      </c>
      <c r="R120" s="40">
        <v>6</v>
      </c>
      <c r="S120" s="41">
        <v>12</v>
      </c>
      <c r="T120" s="40">
        <v>8</v>
      </c>
      <c r="U120" s="41">
        <v>8</v>
      </c>
      <c r="V120" s="40">
        <v>8</v>
      </c>
      <c r="W120" s="41">
        <v>8</v>
      </c>
      <c r="X120" s="40">
        <v>8</v>
      </c>
      <c r="Y120" s="41">
        <v>6</v>
      </c>
    </row>
    <row r="121" spans="2:25" ht="15.75" customHeight="1" x14ac:dyDescent="0.2">
      <c r="B121" s="73"/>
      <c r="C121" s="73"/>
      <c r="D121" s="73"/>
      <c r="E121" s="73"/>
      <c r="F121" s="75" t="s">
        <v>111</v>
      </c>
      <c r="G121" s="76">
        <v>9.2799999999999994</v>
      </c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</row>
    <row r="122" spans="2:25" ht="15.75" customHeight="1" x14ac:dyDescent="0.2">
      <c r="B122" s="73"/>
      <c r="C122" s="73"/>
      <c r="D122" s="73"/>
      <c r="E122" s="73"/>
      <c r="F122" s="73"/>
      <c r="G122" s="74"/>
      <c r="H122" s="82">
        <v>1</v>
      </c>
      <c r="I122" s="83">
        <v>2</v>
      </c>
      <c r="J122" s="82">
        <v>3</v>
      </c>
      <c r="K122" s="83">
        <v>4</v>
      </c>
      <c r="L122" s="82">
        <v>5</v>
      </c>
      <c r="M122" s="83">
        <v>6</v>
      </c>
      <c r="N122" s="82">
        <v>7</v>
      </c>
      <c r="O122" s="83">
        <v>8</v>
      </c>
      <c r="P122" s="82">
        <v>9</v>
      </c>
      <c r="Q122" s="83">
        <v>10</v>
      </c>
      <c r="R122" s="82">
        <v>11</v>
      </c>
      <c r="S122" s="83">
        <v>12</v>
      </c>
      <c r="T122" s="82">
        <v>13</v>
      </c>
      <c r="U122" s="83">
        <v>14</v>
      </c>
      <c r="V122" s="82">
        <v>15</v>
      </c>
      <c r="W122" s="83">
        <v>16</v>
      </c>
      <c r="X122" s="82">
        <v>17</v>
      </c>
      <c r="Y122" s="83">
        <v>18</v>
      </c>
    </row>
    <row r="123" spans="2:25" ht="15.75" customHeight="1" x14ac:dyDescent="0.2">
      <c r="B123" s="73"/>
      <c r="C123" s="73"/>
      <c r="D123" s="73"/>
      <c r="E123" s="73"/>
      <c r="F123" s="73"/>
      <c r="G123" s="77" t="s">
        <v>165</v>
      </c>
      <c r="H123" s="40">
        <v>8</v>
      </c>
      <c r="I123" s="41">
        <v>12</v>
      </c>
      <c r="J123" s="40">
        <v>12</v>
      </c>
      <c r="K123" s="41">
        <v>15</v>
      </c>
      <c r="L123" s="40">
        <v>10</v>
      </c>
      <c r="M123" s="41">
        <v>12</v>
      </c>
      <c r="N123" s="40">
        <v>8</v>
      </c>
      <c r="O123" s="41">
        <v>16</v>
      </c>
      <c r="P123" s="40">
        <v>12</v>
      </c>
      <c r="Q123" s="41">
        <v>3</v>
      </c>
      <c r="R123" s="40">
        <v>12</v>
      </c>
      <c r="S123" s="41">
        <v>10</v>
      </c>
      <c r="T123" s="40">
        <v>9</v>
      </c>
      <c r="U123" s="41">
        <v>10</v>
      </c>
      <c r="V123" s="40">
        <v>12</v>
      </c>
      <c r="W123" s="41">
        <v>8</v>
      </c>
      <c r="X123" s="40">
        <v>12</v>
      </c>
      <c r="Y123" s="41">
        <v>12</v>
      </c>
    </row>
    <row r="124" spans="2:25" ht="15.75" customHeight="1" x14ac:dyDescent="0.2">
      <c r="B124" s="73"/>
      <c r="C124" s="73"/>
      <c r="D124" s="73"/>
      <c r="E124" s="73"/>
      <c r="F124" s="73"/>
      <c r="G124" s="78" t="s">
        <v>113</v>
      </c>
      <c r="H124" s="40">
        <v>20</v>
      </c>
      <c r="I124" s="84">
        <v>23</v>
      </c>
      <c r="J124" s="40">
        <v>16</v>
      </c>
      <c r="K124" s="84">
        <v>25</v>
      </c>
      <c r="L124" s="84">
        <v>25</v>
      </c>
      <c r="M124" s="41">
        <v>12</v>
      </c>
      <c r="N124" s="40">
        <v>20</v>
      </c>
      <c r="O124" s="84">
        <v>24</v>
      </c>
      <c r="P124" s="40">
        <v>20</v>
      </c>
      <c r="Q124" s="41">
        <v>10</v>
      </c>
      <c r="R124" s="40">
        <v>18</v>
      </c>
      <c r="S124" s="84">
        <v>22</v>
      </c>
      <c r="T124" s="40">
        <v>17</v>
      </c>
      <c r="U124" s="41">
        <v>18</v>
      </c>
      <c r="V124" s="40">
        <v>20</v>
      </c>
      <c r="W124" s="41">
        <v>16</v>
      </c>
      <c r="X124" s="40">
        <v>20</v>
      </c>
      <c r="Y124" s="41">
        <v>18</v>
      </c>
    </row>
    <row r="125" spans="2:25" ht="15.75" customHeight="1" x14ac:dyDescent="0.2">
      <c r="B125" s="73"/>
      <c r="C125" s="73"/>
      <c r="D125" s="73"/>
      <c r="E125" s="73"/>
      <c r="F125" s="73"/>
      <c r="G125" s="74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</row>
    <row r="126" spans="2:25" ht="15.75" customHeight="1" x14ac:dyDescent="0.2">
      <c r="B126" s="73"/>
      <c r="C126" s="73"/>
      <c r="D126" s="73"/>
      <c r="E126" s="73"/>
      <c r="F126" s="73"/>
      <c r="G126" s="74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</row>
    <row r="127" spans="2:25" ht="15.75" customHeight="1" x14ac:dyDescent="0.2">
      <c r="B127" s="79" t="s">
        <v>166</v>
      </c>
      <c r="C127" s="73"/>
      <c r="D127" s="73"/>
      <c r="E127" s="73"/>
      <c r="F127" s="73"/>
      <c r="G127" s="74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</row>
    <row r="128" spans="2:25" ht="15.75" customHeight="1" x14ac:dyDescent="0.2">
      <c r="B128" s="43" t="s">
        <v>40</v>
      </c>
      <c r="C128" s="43" t="s">
        <v>167</v>
      </c>
      <c r="D128" s="43" t="s">
        <v>42</v>
      </c>
      <c r="E128" s="43" t="s">
        <v>168</v>
      </c>
      <c r="F128" s="43" t="s">
        <v>44</v>
      </c>
      <c r="G128" s="45" t="s">
        <v>45</v>
      </c>
      <c r="H128" s="43" t="s">
        <v>169</v>
      </c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</row>
    <row r="129" spans="2:25" ht="15.75" customHeight="1" x14ac:dyDescent="0.2">
      <c r="B129" s="105" t="s">
        <v>170</v>
      </c>
      <c r="C129" s="40" t="s">
        <v>171</v>
      </c>
      <c r="D129" s="40">
        <v>2</v>
      </c>
      <c r="E129" s="40" t="s">
        <v>172</v>
      </c>
      <c r="F129" s="38" t="s">
        <v>173</v>
      </c>
      <c r="G129" s="85">
        <v>4</v>
      </c>
      <c r="H129" s="40" t="s">
        <v>174</v>
      </c>
      <c r="I129" s="80"/>
      <c r="J129" s="81"/>
      <c r="K129" s="81"/>
      <c r="L129" s="81"/>
      <c r="M129" s="81"/>
      <c r="N129" s="81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</row>
    <row r="130" spans="2:25" ht="15.75" customHeight="1" x14ac:dyDescent="0.2">
      <c r="B130" s="105"/>
      <c r="C130" s="40" t="s">
        <v>24</v>
      </c>
      <c r="D130" s="40">
        <v>2</v>
      </c>
      <c r="E130" s="40" t="s">
        <v>39</v>
      </c>
      <c r="F130" s="38" t="s">
        <v>175</v>
      </c>
      <c r="G130" s="85">
        <v>3</v>
      </c>
      <c r="H130" s="40" t="s">
        <v>176</v>
      </c>
      <c r="I130" s="73"/>
      <c r="J130" s="81"/>
      <c r="K130" s="81"/>
      <c r="L130" s="81"/>
      <c r="M130" s="81"/>
      <c r="N130" s="81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</row>
    <row r="131" spans="2:25" ht="15.75" customHeight="1" x14ac:dyDescent="0.2">
      <c r="B131" s="105"/>
      <c r="C131" s="40" t="s">
        <v>24</v>
      </c>
      <c r="D131" s="40">
        <v>2</v>
      </c>
      <c r="E131" s="40" t="s">
        <v>177</v>
      </c>
      <c r="F131" s="38" t="s">
        <v>178</v>
      </c>
      <c r="G131" s="85">
        <v>2</v>
      </c>
      <c r="H131" s="40" t="s">
        <v>176</v>
      </c>
      <c r="I131" s="73"/>
      <c r="J131" s="81"/>
      <c r="K131" s="81"/>
      <c r="L131" s="81"/>
      <c r="M131" s="81"/>
      <c r="N131" s="81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</row>
    <row r="132" spans="2:25" ht="15.75" customHeight="1" x14ac:dyDescent="0.2">
      <c r="B132" s="105"/>
      <c r="C132" s="40" t="s">
        <v>24</v>
      </c>
      <c r="D132" s="40">
        <v>2</v>
      </c>
      <c r="E132" s="40" t="s">
        <v>179</v>
      </c>
      <c r="F132" s="38" t="s">
        <v>180</v>
      </c>
      <c r="G132" s="85">
        <v>3</v>
      </c>
      <c r="H132" s="40" t="s">
        <v>181</v>
      </c>
      <c r="I132" s="73"/>
      <c r="J132" s="81"/>
      <c r="K132" s="81"/>
      <c r="L132" s="81"/>
      <c r="M132" s="81"/>
      <c r="N132" s="81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</row>
    <row r="133" spans="2:25" ht="15.75" customHeight="1" x14ac:dyDescent="0.2">
      <c r="B133" s="105" t="s">
        <v>182</v>
      </c>
      <c r="C133" s="40" t="s">
        <v>171</v>
      </c>
      <c r="D133" s="40">
        <v>2</v>
      </c>
      <c r="E133" s="40" t="s">
        <v>183</v>
      </c>
      <c r="F133" s="38" t="s">
        <v>184</v>
      </c>
      <c r="G133" s="85">
        <v>6</v>
      </c>
      <c r="H133" s="40" t="s">
        <v>174</v>
      </c>
      <c r="I133" s="80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</row>
    <row r="134" spans="2:25" ht="15.75" customHeight="1" x14ac:dyDescent="0.2">
      <c r="B134" s="105"/>
      <c r="C134" s="40" t="s">
        <v>171</v>
      </c>
      <c r="D134" s="40">
        <v>4</v>
      </c>
      <c r="E134" s="40" t="s">
        <v>185</v>
      </c>
      <c r="F134" s="38" t="s">
        <v>186</v>
      </c>
      <c r="G134" s="85">
        <v>4</v>
      </c>
      <c r="H134" s="40" t="s">
        <v>174</v>
      </c>
      <c r="I134" s="80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</row>
    <row r="135" spans="2:25" ht="15.75" customHeight="1" x14ac:dyDescent="0.2">
      <c r="B135" s="105" t="s">
        <v>187</v>
      </c>
      <c r="C135" s="40" t="s">
        <v>171</v>
      </c>
      <c r="D135" s="40">
        <v>2</v>
      </c>
      <c r="E135" s="40" t="s">
        <v>188</v>
      </c>
      <c r="F135" s="38" t="s">
        <v>189</v>
      </c>
      <c r="G135" s="85">
        <v>2</v>
      </c>
      <c r="H135" s="40" t="s">
        <v>176</v>
      </c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</row>
    <row r="136" spans="2:25" ht="15.75" customHeight="1" x14ac:dyDescent="0.2">
      <c r="B136" s="105"/>
      <c r="C136" s="40" t="s">
        <v>171</v>
      </c>
      <c r="D136" s="40">
        <v>4</v>
      </c>
      <c r="E136" s="40" t="s">
        <v>190</v>
      </c>
      <c r="F136" s="38" t="s">
        <v>191</v>
      </c>
      <c r="G136" s="85">
        <v>2</v>
      </c>
      <c r="H136" s="40" t="s">
        <v>176</v>
      </c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</row>
    <row r="137" spans="2:25" ht="15.75" customHeight="1" x14ac:dyDescent="0.2">
      <c r="B137" s="105"/>
      <c r="C137" s="38" t="s">
        <v>171</v>
      </c>
      <c r="D137" s="40">
        <v>6</v>
      </c>
      <c r="E137" s="40" t="s">
        <v>192</v>
      </c>
      <c r="F137" s="38" t="s">
        <v>193</v>
      </c>
      <c r="G137" s="85">
        <v>3</v>
      </c>
      <c r="H137" s="40" t="s">
        <v>176</v>
      </c>
      <c r="I137" s="73"/>
      <c r="J137" s="73"/>
      <c r="K137" s="106"/>
      <c r="L137" s="106"/>
      <c r="M137" s="106"/>
      <c r="N137" s="106"/>
      <c r="O137" s="106"/>
      <c r="P137" s="73"/>
      <c r="Q137" s="73"/>
      <c r="R137" s="73"/>
      <c r="S137" s="73"/>
      <c r="T137" s="73"/>
      <c r="U137" s="73"/>
      <c r="V137" s="73"/>
      <c r="W137" s="73"/>
      <c r="X137" s="73"/>
      <c r="Y137" s="73"/>
    </row>
    <row r="138" spans="2:25" ht="15.75" customHeight="1" x14ac:dyDescent="0.2">
      <c r="B138" s="105" t="s">
        <v>194</v>
      </c>
      <c r="C138" s="40" t="s">
        <v>171</v>
      </c>
      <c r="D138" s="40">
        <v>2</v>
      </c>
      <c r="E138" s="86" t="s">
        <v>195</v>
      </c>
      <c r="F138" s="87" t="s">
        <v>196</v>
      </c>
      <c r="G138" s="85">
        <v>4</v>
      </c>
      <c r="H138" s="40" t="s">
        <v>174</v>
      </c>
      <c r="I138" s="73"/>
      <c r="J138" s="73"/>
      <c r="K138" s="106"/>
      <c r="L138" s="106"/>
      <c r="M138" s="106"/>
      <c r="N138" s="106"/>
      <c r="O138" s="106"/>
      <c r="P138" s="73"/>
      <c r="Q138" s="73"/>
      <c r="R138" s="73"/>
      <c r="S138" s="73"/>
      <c r="T138" s="73"/>
      <c r="U138" s="73"/>
      <c r="V138" s="73"/>
      <c r="W138" s="73"/>
      <c r="X138" s="73"/>
      <c r="Y138" s="73"/>
    </row>
    <row r="139" spans="2:25" ht="15.75" customHeight="1" x14ac:dyDescent="0.2">
      <c r="B139" s="105"/>
      <c r="C139" s="38" t="s">
        <v>171</v>
      </c>
      <c r="D139" s="40">
        <v>8</v>
      </c>
      <c r="E139" s="40" t="s">
        <v>197</v>
      </c>
      <c r="F139" s="38" t="s">
        <v>198</v>
      </c>
      <c r="G139" s="85">
        <v>3</v>
      </c>
      <c r="H139" s="40" t="s">
        <v>176</v>
      </c>
      <c r="I139" s="73"/>
      <c r="J139" s="73"/>
      <c r="K139" s="106"/>
      <c r="L139" s="106"/>
      <c r="M139" s="106"/>
      <c r="N139" s="106"/>
      <c r="O139" s="106"/>
      <c r="P139" s="73"/>
      <c r="Q139" s="73"/>
      <c r="R139" s="73"/>
      <c r="S139" s="73"/>
      <c r="T139" s="73"/>
      <c r="U139" s="73"/>
      <c r="V139" s="73"/>
      <c r="W139" s="73"/>
      <c r="X139" s="73"/>
      <c r="Y139" s="73"/>
    </row>
    <row r="140" spans="2:25" ht="15.75" customHeight="1" x14ac:dyDescent="0.2">
      <c r="B140" s="105"/>
      <c r="C140" s="38" t="s">
        <v>171</v>
      </c>
      <c r="D140" s="88">
        <v>2</v>
      </c>
      <c r="E140" s="86" t="s">
        <v>199</v>
      </c>
      <c r="F140" s="87" t="s">
        <v>200</v>
      </c>
      <c r="G140" s="85">
        <v>4</v>
      </c>
      <c r="H140" s="40" t="s">
        <v>176</v>
      </c>
      <c r="I140" s="73"/>
      <c r="J140" s="73"/>
      <c r="K140" s="106"/>
      <c r="L140" s="106"/>
      <c r="M140" s="106"/>
      <c r="N140" s="106"/>
      <c r="O140" s="106"/>
      <c r="P140" s="73"/>
      <c r="Q140" s="73"/>
      <c r="R140" s="73"/>
      <c r="S140" s="73"/>
      <c r="T140" s="73"/>
      <c r="U140" s="73"/>
      <c r="V140" s="73"/>
      <c r="W140" s="73"/>
      <c r="X140" s="73"/>
      <c r="Y140" s="73"/>
    </row>
  </sheetData>
  <mergeCells count="26">
    <mergeCell ref="C87:C99"/>
    <mergeCell ref="B47:B59"/>
    <mergeCell ref="C47:C59"/>
    <mergeCell ref="B7:Y7"/>
    <mergeCell ref="B9:B25"/>
    <mergeCell ref="C9:C25"/>
    <mergeCell ref="B26:B39"/>
    <mergeCell ref="C26:C38"/>
    <mergeCell ref="B41:B45"/>
    <mergeCell ref="C41:C45"/>
    <mergeCell ref="B61:B65"/>
    <mergeCell ref="B129:B132"/>
    <mergeCell ref="B133:B134"/>
    <mergeCell ref="B135:B137"/>
    <mergeCell ref="K137:O140"/>
    <mergeCell ref="B138:B140"/>
    <mergeCell ref="B101:B103"/>
    <mergeCell ref="C101:C103"/>
    <mergeCell ref="B105:B113"/>
    <mergeCell ref="C105:C113"/>
    <mergeCell ref="B115:B118"/>
    <mergeCell ref="C115:C118"/>
    <mergeCell ref="B74:Y74"/>
    <mergeCell ref="B76:B86"/>
    <mergeCell ref="C76:C86"/>
    <mergeCell ref="B87:B9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Alocação Disciplinas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Frinhani</cp:lastModifiedBy>
  <dcterms:modified xsi:type="dcterms:W3CDTF">2025-11-10T22:07:28Z</dcterms:modified>
</cp:coreProperties>
</file>